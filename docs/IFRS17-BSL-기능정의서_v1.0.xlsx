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(WBS)" sheetId="1" state="visible" r:id="rId1"/>
    <sheet name="오류코드 매핑" sheetId="2" state="visible" r:id="rId2"/>
    <sheet name="통합테스트 케이스" sheetId="3" state="visible" r:id="rId3"/>
    <sheet name="진척 요약" sheetId="4" state="visible" r:id="rId4"/>
  </sheets>
  <definedNames>
    <definedName name="_xlnm._FilterDatabase" localSheetId="0" hidden="1">'기능정의서(WBS)'!$A$1:$P$71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1F7A1F"/>
      <sz val="9"/>
    </font>
    <font>
      <name val="맑은 고딕"/>
      <b val="1"/>
      <sz val="9"/>
    </font>
    <font>
      <name val="맑은 고딕"/>
      <b val="1"/>
      <color rgb="00BF8F00"/>
      <sz val="9"/>
    </font>
    <font>
      <name val="맑은 고딕"/>
      <b val="1"/>
      <color rgb="00C00000"/>
      <sz val="9"/>
    </font>
    <font>
      <name val="맑은 고딕"/>
      <i val="1"/>
      <color rgb="00808080"/>
      <sz val="9"/>
    </font>
    <font>
      <name val="맑은 고딕"/>
      <b val="1"/>
      <color rgb="001F4E79"/>
      <sz val="13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164" fontId="9" fillId="0" borderId="1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26" customWidth="1" min="4" max="4"/>
    <col width="12" customWidth="1" min="5" max="5"/>
    <col width="14" customWidth="1" min="6" max="6"/>
    <col width="34" customWidth="1" min="7" max="7"/>
    <col width="34" customWidth="1" min="8" max="8"/>
    <col width="34" customWidth="1" min="9" max="9"/>
    <col width="46" customWidth="1" min="10" max="10"/>
    <col width="34" customWidth="1" min="11" max="11"/>
    <col width="34" customWidth="1" min="12" max="12"/>
    <col width="14" customWidth="1" min="13" max="13"/>
    <col width="10" customWidth="1" min="14" max="14"/>
    <col width="12" customWidth="1" min="15" max="15"/>
    <col width="30" customWidth="1" min="16" max="16"/>
  </cols>
  <sheetData>
    <row r="1" ht="34" customHeight="1">
      <c r="A1" s="1" t="inlineStr">
        <is>
          <t>WBS ID</t>
        </is>
      </c>
      <c r="B1" s="1" t="inlineStr">
        <is>
          <t>대분류</t>
        </is>
      </c>
      <c r="C1" s="1" t="inlineStr">
        <is>
          <t>중분류(표준 처리 단계)</t>
        </is>
      </c>
      <c r="D1" s="1" t="inlineStr">
        <is>
          <t>소분류(세부 기능)</t>
        </is>
      </c>
      <c r="E1" s="1" t="inlineStr">
        <is>
          <t>기능ID</t>
        </is>
      </c>
      <c r="F1" s="1" t="inlineStr">
        <is>
          <t>설계서 근거</t>
        </is>
      </c>
      <c r="G1" s="1" t="inlineStr">
        <is>
          <t>API / 호출 정보</t>
        </is>
      </c>
      <c r="H1" s="1" t="inlineStr">
        <is>
          <t>담당 컴포넌트(파일)</t>
        </is>
      </c>
      <c r="I1" s="1" t="inlineStr">
        <is>
          <t>메서드 · 호출 위치</t>
        </is>
      </c>
      <c r="J1" s="1" t="inlineStr">
        <is>
          <t>처리 내용</t>
        </is>
      </c>
      <c r="K1" s="1" t="inlineStr">
        <is>
          <t>입력 데이터</t>
        </is>
      </c>
      <c r="L1" s="1" t="inlineStr">
        <is>
          <t>출력 데이터</t>
        </is>
      </c>
      <c r="M1" s="1" t="inlineStr">
        <is>
          <t>오류코드</t>
        </is>
      </c>
      <c r="N1" s="1" t="inlineStr">
        <is>
          <t>구현 상태</t>
        </is>
      </c>
      <c r="O1" s="1" t="inlineStr">
        <is>
          <t>테스트 ID</t>
        </is>
      </c>
      <c r="P1" s="1" t="inlineStr">
        <is>
          <t>비고</t>
        </is>
      </c>
    </row>
    <row r="2">
      <c r="A2" s="2" t="inlineStr">
        <is>
          <t>A-1-1</t>
        </is>
      </c>
      <c r="B2" s="3" t="inlineStr">
        <is>
          <t>A. 요청 수신·식별</t>
        </is>
      </c>
      <c r="C2" s="3" t="inlineStr">
        <is>
          <t>(6) HTTP Header 및 Request Body 수신</t>
        </is>
      </c>
      <c r="D2" s="3" t="inlineStr">
        <is>
          <t>Endpoint 매핑</t>
        </is>
      </c>
      <c r="E2" s="2" t="inlineStr">
        <is>
          <t>BSL-F-06</t>
        </is>
      </c>
      <c r="F2" s="3" t="inlineStr">
        <is>
          <t>4.3-6 / 5.1 / 10.1</t>
        </is>
      </c>
      <c r="G2" s="3" t="inlineStr">
        <is>
          <t>POST /api/business-services/v1/{serviceId}:execute</t>
        </is>
      </c>
      <c r="H2" s="3" t="inlineStr">
        <is>
          <t>api/controller/BusinessServiceController.java</t>
        </is>
      </c>
      <c r="I2" s="3" t="inlineStr">
        <is>
          <t>execute(serviceId, request, httpRequest)  :63</t>
        </is>
      </c>
      <c r="J2" s="3" t="inlineStr">
        <is>
          <t>공통 단일 Endpoint 로 외부 채널 요청 수신</t>
        </is>
      </c>
      <c r="K2" s="3" t="inlineStr">
        <is>
          <t>Path serviceId, Header 5종, Body StandardRequest</t>
        </is>
      </c>
      <c r="L2" s="3" t="inlineStr">
        <is>
          <t>ResponseEntity&lt;StandardResponse&lt;?&gt;&gt;</t>
        </is>
      </c>
      <c r="M2" s="3" t="inlineStr">
        <is>
          <t>-</t>
        </is>
      </c>
      <c r="N2" s="4" t="inlineStr">
        <is>
          <t>완료</t>
        </is>
      </c>
      <c r="O2" s="3" t="inlineStr">
        <is>
          <t>TC-06-1</t>
        </is>
      </c>
      <c r="P2" s="3" t="inlineStr">
        <is>
          <t>URI 끝 ':execute' 필수. ant_path_matcher 설정 필요</t>
        </is>
      </c>
    </row>
    <row r="3">
      <c r="A3" s="5" t="inlineStr">
        <is>
          <t>A-1-2</t>
        </is>
      </c>
      <c r="B3" s="6" t="inlineStr">
        <is>
          <t>A. 요청 수신·식별</t>
        </is>
      </c>
      <c r="C3" s="6" t="inlineStr">
        <is>
          <t>(6) HTTP Header 및 Request Body 수신</t>
        </is>
      </c>
      <c r="D3" s="6" t="inlineStr">
        <is>
          <t>Request Body 역직렬화</t>
        </is>
      </c>
      <c r="E3" s="5" t="inlineStr">
        <is>
          <t>BSL-F-06</t>
        </is>
      </c>
      <c r="F3" s="6" t="inlineStr">
        <is>
          <t>5.3 표준 Request</t>
        </is>
      </c>
      <c r="G3" s="6" t="inlineStr">
        <is>
          <t>Content-Type: application/json</t>
        </is>
      </c>
      <c r="H3" s="6" t="inlineStr">
        <is>
          <t>api/dto/request/StandardRequest.java, RequestOptions.java</t>
        </is>
      </c>
      <c r="I3" s="6" t="inlineStr">
        <is>
          <t>Jackson ObjectMapper (자동)</t>
        </is>
      </c>
      <c r="J3" s="6" t="inlineStr">
        <is>
          <t>JSON → StandardRequest 객체 변환</t>
        </is>
      </c>
      <c r="K3" s="6" t="inlineStr">
        <is>
          <t>serviceVersion, parameters{}, options{}</t>
        </is>
      </c>
      <c r="L3" s="6" t="inlineStr">
        <is>
          <t>StandardRequest 인스턴스</t>
        </is>
      </c>
      <c r="M3" s="7" t="inlineStr">
        <is>
          <t>BS-VAL-001</t>
        </is>
      </c>
      <c r="N3" s="8" t="inlineStr">
        <is>
          <t>완료</t>
        </is>
      </c>
      <c r="O3" s="6" t="inlineStr">
        <is>
          <t>TC-06-2</t>
        </is>
      </c>
      <c r="P3" s="6" t="inlineStr">
        <is>
          <t>fail-on-unknown-properties=false</t>
        </is>
      </c>
    </row>
    <row r="4">
      <c r="A4" s="5" t="inlineStr">
        <is>
          <t>A-1-3</t>
        </is>
      </c>
      <c r="B4" s="6" t="inlineStr">
        <is>
          <t>A. 요청 수신·식별</t>
        </is>
      </c>
      <c r="C4" s="6" t="inlineStr">
        <is>
          <t>(6) HTTP Header 및 Request Body 수신</t>
        </is>
      </c>
      <c r="D4" s="6" t="inlineStr">
        <is>
          <t>Executor 위임</t>
        </is>
      </c>
      <c r="E4" s="5" t="inlineStr">
        <is>
          <t>BSL-F-06</t>
        </is>
      </c>
      <c r="F4" s="6" t="inlineStr">
        <is>
          <t>10.1 Reference Controller</t>
        </is>
      </c>
      <c r="G4" s="6" t="inlineStr">
        <is>
          <t>-</t>
        </is>
      </c>
      <c r="H4" s="6" t="inlineStr">
        <is>
          <t>api/controller/BusinessServiceController.java</t>
        </is>
      </c>
      <c r="I4" s="6" t="inlineStr">
        <is>
          <t>executor.execute(...)  :66</t>
        </is>
      </c>
      <c r="J4" s="6" t="inlineStr">
        <is>
          <t>Controller 는 수신·위임만 수행 (업무 SQL/규칙 작성 금지)</t>
        </is>
      </c>
      <c r="K4" s="6" t="inlineStr">
        <is>
          <t>serviceId, StandardRequest, HttpServletRequest</t>
        </is>
      </c>
      <c r="L4" s="6" t="inlineStr">
        <is>
          <t>Executor 반환값 그대로</t>
        </is>
      </c>
      <c r="M4" s="6" t="inlineStr">
        <is>
          <t>-</t>
        </is>
      </c>
      <c r="N4" s="8" t="inlineStr">
        <is>
          <t>완료</t>
        </is>
      </c>
      <c r="O4" s="6" t="inlineStr">
        <is>
          <t>TC-06-1</t>
        </is>
      </c>
      <c r="P4" s="6" t="inlineStr">
        <is>
          <t>설계서 10.5 금지사항 준수</t>
        </is>
      </c>
    </row>
    <row r="5">
      <c r="A5" s="5" t="inlineStr">
        <is>
          <t>A-1-4</t>
        </is>
      </c>
      <c r="B5" s="6" t="inlineStr">
        <is>
          <t>A. 요청 수신·식별</t>
        </is>
      </c>
      <c r="C5" s="6" t="inlineStr">
        <is>
          <t>(6) HTTP Header 및 Request Body 수신</t>
        </is>
      </c>
      <c r="D5" s="6" t="inlineStr">
        <is>
          <t>JSON 파싱 오류 처리</t>
        </is>
      </c>
      <c r="E5" s="5" t="inlineStr">
        <is>
          <t>BSL-F-06</t>
        </is>
      </c>
      <c r="F5" s="6" t="inlineStr">
        <is>
          <t>4.5 예외 처리 기준</t>
        </is>
      </c>
      <c r="G5" s="6" t="inlineStr">
        <is>
          <t>-</t>
        </is>
      </c>
      <c r="H5" s="6" t="inlineStr">
        <is>
          <t>api/controller/BusinessServiceExceptionHandler.java</t>
        </is>
      </c>
      <c r="I5" s="6" t="inlineStr">
        <is>
          <t>handleUnreadable()  :44</t>
        </is>
      </c>
      <c r="J5" s="6" t="inlineStr">
        <is>
          <t>잘못된 JSON Body 를 표준 Error Response 로 변환</t>
        </is>
      </c>
      <c r="K5" s="6" t="inlineStr">
        <is>
          <t>HttpMessageNotReadableException</t>
        </is>
      </c>
      <c r="L5" s="6" t="inlineStr">
        <is>
          <t>StandardResponse(error)</t>
        </is>
      </c>
      <c r="M5" s="7" t="inlineStr">
        <is>
          <t>BS-VAL-001</t>
        </is>
      </c>
      <c r="N5" s="8" t="inlineStr">
        <is>
          <t>완료</t>
        </is>
      </c>
      <c r="O5" s="6" t="inlineStr">
        <is>
          <t>TC-06-2</t>
        </is>
      </c>
      <c r="P5" s="6" t="inlineStr">
        <is>
          <t>Executor 진입 이전 단계 오류</t>
        </is>
      </c>
    </row>
    <row r="6">
      <c r="A6" s="5" t="inlineStr">
        <is>
          <t>A-1-5</t>
        </is>
      </c>
      <c r="B6" s="6" t="inlineStr">
        <is>
          <t>A. 요청 수신·식별</t>
        </is>
      </c>
      <c r="C6" s="6" t="inlineStr">
        <is>
          <t>(6) HTTP Header 및 Request Body 수신</t>
        </is>
      </c>
      <c r="D6" s="6" t="inlineStr">
        <is>
          <t>미정의 URI 처리</t>
        </is>
      </c>
      <c r="E6" s="5" t="inlineStr">
        <is>
          <t>BSL-F-06</t>
        </is>
      </c>
      <c r="F6" s="6" t="inlineStr">
        <is>
          <t>4.5 / 5.1</t>
        </is>
      </c>
      <c r="G6" s="6" t="inlineStr">
        <is>
          <t>-</t>
        </is>
      </c>
      <c r="H6" s="6" t="inlineStr">
        <is>
          <t>api/controller/BusinessServiceExceptionHandler.java</t>
        </is>
      </c>
      <c r="I6" s="6" t="inlineStr">
        <is>
          <t>handleNoHandler()  :50</t>
        </is>
      </c>
      <c r="J6" s="6" t="inlineStr">
        <is>
          <t>매핑되지 않은 URI 를 표준 Error Response 로 변환</t>
        </is>
      </c>
      <c r="K6" s="6" t="inlineStr">
        <is>
          <t>NoHandlerFoundException</t>
        </is>
      </c>
      <c r="L6" s="6" t="inlineStr">
        <is>
          <t>StandardResponse(error)</t>
        </is>
      </c>
      <c r="M6" s="7" t="inlineStr">
        <is>
          <t>BS-SVC-404</t>
        </is>
      </c>
      <c r="N6" s="8" t="inlineStr">
        <is>
          <t>완료</t>
        </is>
      </c>
      <c r="O6" s="6" t="inlineStr">
        <is>
          <t>TC-06-3</t>
        </is>
      </c>
      <c r="P6" s="6" t="inlineStr">
        <is>
          <t>throw-exception-if-no-handler-found=true 필요</t>
        </is>
      </c>
    </row>
    <row r="7">
      <c r="A7" s="5" t="inlineStr">
        <is>
          <t>A-2-1</t>
        </is>
      </c>
      <c r="B7" s="6" t="inlineStr">
        <is>
          <t>A. 요청 수신·식별</t>
        </is>
      </c>
      <c r="C7" s="6" t="inlineStr">
        <is>
          <t>(7) Request ID 생성 또는 검증</t>
        </is>
      </c>
      <c r="D7" s="6" t="inlineStr">
        <is>
          <t>X-Request-ID 수신 검증</t>
        </is>
      </c>
      <c r="E7" s="5" t="inlineStr">
        <is>
          <t>BSL-F-07</t>
        </is>
      </c>
      <c r="F7" s="6" t="inlineStr">
        <is>
          <t>4.3-7 / 5.2</t>
        </is>
      </c>
      <c r="G7" s="6" t="inlineStr">
        <is>
          <t>Header X-Request-ID (선택)</t>
        </is>
      </c>
      <c r="H7" s="6" t="inlineStr">
        <is>
          <t>core/context/HttpHeaderRequestContextResolver.java</t>
        </is>
      </c>
      <c r="I7" s="6" t="inlineStr">
        <is>
          <t>resolve(...)  Executor:97</t>
        </is>
      </c>
      <c r="J7" s="6" t="inlineStr">
        <is>
          <t>Header 값이 있으면 그대로 사용</t>
        </is>
      </c>
      <c r="K7" s="6" t="inlineStr">
        <is>
          <t>X-Request-ID</t>
        </is>
      </c>
      <c r="L7" s="6" t="inlineStr">
        <is>
          <t>ServiceContext.requestId</t>
        </is>
      </c>
      <c r="M7" s="6" t="inlineStr">
        <is>
          <t>-</t>
        </is>
      </c>
      <c r="N7" s="8" t="inlineStr">
        <is>
          <t>완료</t>
        </is>
      </c>
      <c r="O7" s="6" t="inlineStr">
        <is>
          <t>TC-07-2</t>
        </is>
      </c>
      <c r="P7" s="6" t="inlineStr">
        <is>
          <t>채널이 지정한 추적 ID 보존</t>
        </is>
      </c>
    </row>
    <row r="8">
      <c r="A8" s="5" t="inlineStr">
        <is>
          <t>A-2-2</t>
        </is>
      </c>
      <c r="B8" s="6" t="inlineStr">
        <is>
          <t>A. 요청 수신·식별</t>
        </is>
      </c>
      <c r="C8" s="6" t="inlineStr">
        <is>
          <t>(7) Request ID 생성 또는 검증</t>
        </is>
      </c>
      <c r="D8" s="6" t="inlineStr">
        <is>
          <t>Request ID 채번</t>
        </is>
      </c>
      <c r="E8" s="5" t="inlineStr">
        <is>
          <t>BSL-F-07</t>
        </is>
      </c>
      <c r="F8" s="6" t="inlineStr">
        <is>
          <t>5.2 / 5.4</t>
        </is>
      </c>
      <c r="G8" s="6" t="inlineStr">
        <is>
          <t>-</t>
        </is>
      </c>
      <c r="H8" s="6" t="inlineStr">
        <is>
          <t>core/context/IdGenerator.java</t>
        </is>
      </c>
      <c r="I8" s="6" t="inlineStr">
        <is>
          <t>newRequestId()</t>
        </is>
      </c>
      <c r="J8" s="6" t="inlineStr">
        <is>
          <t>Header 미입력 시 서버 채번 REQ-yyyyMMdd-0001</t>
        </is>
      </c>
      <c r="K8" s="6" t="inlineStr">
        <is>
          <t>-</t>
        </is>
      </c>
      <c r="L8" s="6" t="inlineStr">
        <is>
          <t>ServiceContext.requestId</t>
        </is>
      </c>
      <c r="M8" s="6" t="inlineStr">
        <is>
          <t>-</t>
        </is>
      </c>
      <c r="N8" s="8" t="inlineStr">
        <is>
          <t>완료</t>
        </is>
      </c>
      <c r="O8" s="6" t="inlineStr">
        <is>
          <t>TC-07-1</t>
        </is>
      </c>
      <c r="P8" s="6" t="inlineStr">
        <is>
          <t>In-Memory Sequence. 다중 WAS 시 교체 필요</t>
        </is>
      </c>
    </row>
    <row r="9">
      <c r="A9" s="5" t="inlineStr">
        <is>
          <t>A-2-3</t>
        </is>
      </c>
      <c r="B9" s="6" t="inlineStr">
        <is>
          <t>A. 요청 수신·식별</t>
        </is>
      </c>
      <c r="C9" s="6" t="inlineStr">
        <is>
          <t>(7) Request ID 생성 또는 검증</t>
        </is>
      </c>
      <c r="D9" s="6" t="inlineStr">
        <is>
          <t>Trace ID 채번</t>
        </is>
      </c>
      <c r="E9" s="5" t="inlineStr">
        <is>
          <t>BSL-F-07</t>
        </is>
      </c>
      <c r="F9" s="6" t="inlineStr">
        <is>
          <t>5.2 / 6.3</t>
        </is>
      </c>
      <c r="G9" s="6" t="inlineStr">
        <is>
          <t>Header X-Trace-ID (선택)</t>
        </is>
      </c>
      <c r="H9" s="6" t="inlineStr">
        <is>
          <t>core/context/IdGenerator.java</t>
        </is>
      </c>
      <c r="I9" s="6" t="inlineStr">
        <is>
          <t>newTraceId()</t>
        </is>
      </c>
      <c r="J9" s="6" t="inlineStr">
        <is>
          <t>분산 추적 ID 확보 TRACE-yyyyMMdd-0001</t>
        </is>
      </c>
      <c r="K9" s="6" t="inlineStr">
        <is>
          <t>X-Trace-ID</t>
        </is>
      </c>
      <c r="L9" s="6" t="inlineStr">
        <is>
          <t>ServiceContext.traceId</t>
        </is>
      </c>
      <c r="M9" s="6" t="inlineStr">
        <is>
          <t>-</t>
        </is>
      </c>
      <c r="N9" s="8" t="inlineStr">
        <is>
          <t>완료</t>
        </is>
      </c>
      <c r="O9" s="6" t="inlineStr">
        <is>
          <t>TC-07-1</t>
        </is>
      </c>
      <c r="P9" s="6" t="inlineStr"/>
    </row>
    <row r="10">
      <c r="A10" s="5" t="inlineStr">
        <is>
          <t>A-2-4</t>
        </is>
      </c>
      <c r="B10" s="6" t="inlineStr">
        <is>
          <t>A. 요청 수신·식별</t>
        </is>
      </c>
      <c r="C10" s="6" t="inlineStr">
        <is>
          <t>(7) Request ID 생성 또는 검증</t>
        </is>
      </c>
      <c r="D10" s="6" t="inlineStr">
        <is>
          <t>요청 시각 기록</t>
        </is>
      </c>
      <c r="E10" s="5" t="inlineStr">
        <is>
          <t>BSL-F-07</t>
        </is>
      </c>
      <c r="F10" s="6" t="inlineStr">
        <is>
          <t>6.3 감사 시간 필드</t>
        </is>
      </c>
      <c r="G10" s="6" t="inlineStr">
        <is>
          <t>-</t>
        </is>
      </c>
      <c r="H10" s="6" t="inlineStr">
        <is>
          <t>core/context/ServiceContext.java</t>
        </is>
      </c>
      <c r="I10" s="6" t="inlineStr">
        <is>
          <t>setRequestedAt(LocalDateTime.now())</t>
        </is>
      </c>
      <c r="J10" s="6" t="inlineStr">
        <is>
          <t>감사 requested_at 및 elapsedMs 산출 기준 시각</t>
        </is>
      </c>
      <c r="K10" s="6" t="inlineStr">
        <is>
          <t>-</t>
        </is>
      </c>
      <c r="L10" s="6" t="inlineStr">
        <is>
          <t>ServiceContext.requestedAt</t>
        </is>
      </c>
      <c r="M10" s="6" t="inlineStr">
        <is>
          <t>-</t>
        </is>
      </c>
      <c r="N10" s="8" t="inlineStr">
        <is>
          <t>완료</t>
        </is>
      </c>
      <c r="O10" s="6" t="inlineStr">
        <is>
          <t>TC-13-1</t>
        </is>
      </c>
      <c r="P10" s="6" t="inlineStr"/>
    </row>
    <row r="11">
      <c r="A11" s="2" t="inlineStr">
        <is>
          <t>B-1-1</t>
        </is>
      </c>
      <c r="B11" s="3" t="inlineStr">
        <is>
          <t>B. 인증</t>
        </is>
      </c>
      <c r="C11" s="3" t="inlineStr">
        <is>
          <t>(8) 호출 Client 검증</t>
        </is>
      </c>
      <c r="D11" s="3" t="inlineStr">
        <is>
          <t>X-Client-ID 필수 확인</t>
        </is>
      </c>
      <c r="E11" s="2" t="inlineStr">
        <is>
          <t>BSL-F-08</t>
        </is>
      </c>
      <c r="F11" s="3" t="inlineStr">
        <is>
          <t>4.3-8 / 5.2 / 6.1</t>
        </is>
      </c>
      <c r="G11" s="3" t="inlineStr">
        <is>
          <t>Header X-Client-ID (필수)</t>
        </is>
      </c>
      <c r="H11" s="3" t="inlineStr">
        <is>
          <t>core/security/DummyClientAuthenticationService.java</t>
        </is>
      </c>
      <c r="I11" s="3" t="inlineStr">
        <is>
          <t>authenticate(context)  Executor:100</t>
        </is>
      </c>
      <c r="J11" s="3" t="inlineStr">
        <is>
          <t>필수 Header 누락 시 인증 실패 처리</t>
        </is>
      </c>
      <c r="K11" s="3" t="inlineStr">
        <is>
          <t>ServiceContext.clientId</t>
        </is>
      </c>
      <c r="L11" s="3" t="inlineStr">
        <is>
          <t>통과 또는 AuthenticationException</t>
        </is>
      </c>
      <c r="M11" s="7" t="inlineStr">
        <is>
          <t>BS-AUTH-001</t>
        </is>
      </c>
      <c r="N11" s="9" t="inlineStr">
        <is>
          <t>Mock</t>
        </is>
      </c>
      <c r="O11" s="3" t="inlineStr">
        <is>
          <t>TC-08-1</t>
        </is>
      </c>
      <c r="P11" s="3" t="inlineStr">
        <is>
          <t>Interface: ClientAuthenticationService</t>
        </is>
      </c>
    </row>
    <row r="12">
      <c r="A12" s="5" t="inlineStr">
        <is>
          <t>B-1-2</t>
        </is>
      </c>
      <c r="B12" s="6" t="inlineStr">
        <is>
          <t>B. 인증</t>
        </is>
      </c>
      <c r="C12" s="6" t="inlineStr">
        <is>
          <t>(8) 호출 Client 검증</t>
        </is>
      </c>
      <c r="D12" s="6" t="inlineStr">
        <is>
          <t>Client 허용목록 조회</t>
        </is>
      </c>
      <c r="E12" s="5" t="inlineStr">
        <is>
          <t>BSL-F-08</t>
        </is>
      </c>
      <c r="F12" s="6" t="inlineStr">
        <is>
          <t>6.1 / 7.2 BS_CLIENT</t>
        </is>
      </c>
      <c r="G12" s="6" t="inlineStr">
        <is>
          <t>-</t>
        </is>
      </c>
      <c r="H12" s="6" t="inlineStr">
        <is>
          <t>(미구현) persistence/mapper 계약 활용</t>
        </is>
      </c>
      <c r="I12" s="6" t="inlineStr">
        <is>
          <t>-</t>
        </is>
      </c>
      <c r="J12" s="6" t="inlineStr">
        <is>
          <t>BS_CLIENT / BS_CLIENT_SERVICE 조회로 호출 채널 검증</t>
        </is>
      </c>
      <c r="K12" s="6" t="inlineStr">
        <is>
          <t>clientId, serviceId</t>
        </is>
      </c>
      <c r="L12" s="6" t="inlineStr">
        <is>
          <t>허용 여부</t>
        </is>
      </c>
      <c r="M12" s="7" t="inlineStr">
        <is>
          <t>BS-AUTH-001</t>
        </is>
      </c>
      <c r="N12" s="10" t="inlineStr">
        <is>
          <t>미구현</t>
        </is>
      </c>
      <c r="O12" s="6" t="inlineStr">
        <is>
          <t>-</t>
        </is>
      </c>
      <c r="P12" s="6" t="inlineStr">
        <is>
          <t>실구현 단계 추가</t>
        </is>
      </c>
    </row>
    <row r="13">
      <c r="A13" s="5" t="inlineStr">
        <is>
          <t>B-1-3</t>
        </is>
      </c>
      <c r="B13" s="6" t="inlineStr">
        <is>
          <t>B. 인증</t>
        </is>
      </c>
      <c r="C13" s="6" t="inlineStr">
        <is>
          <t>(8) 호출 Client 검증</t>
        </is>
      </c>
      <c r="D13" s="6" t="inlineStr">
        <is>
          <t>SSO Token 유효성 검증</t>
        </is>
      </c>
      <c r="E13" s="5" t="inlineStr">
        <is>
          <t>BSL-F-08</t>
        </is>
      </c>
      <c r="F13" s="6" t="inlineStr">
        <is>
          <t>6.1 / 부록A</t>
        </is>
      </c>
      <c r="G13" s="6" t="inlineStr">
        <is>
          <t>Header Authorization</t>
        </is>
      </c>
      <c r="H13" s="6" t="inlineStr">
        <is>
          <t>(미구현) 현재 수신만 하고 미검증</t>
        </is>
      </c>
      <c r="I13" s="6" t="inlineStr">
        <is>
          <t>-</t>
        </is>
      </c>
      <c r="J13" s="6" t="inlineStr">
        <is>
          <t>토큰 서명·만료 검증</t>
        </is>
      </c>
      <c r="K13" s="6" t="inlineStr">
        <is>
          <t>Authorization</t>
        </is>
      </c>
      <c r="L13" s="6" t="inlineStr">
        <is>
          <t>authType, 사용자 Claim</t>
        </is>
      </c>
      <c r="M13" s="7" t="inlineStr">
        <is>
          <t>BS-AUTH-002</t>
        </is>
      </c>
      <c r="N13" s="10" t="inlineStr">
        <is>
          <t>미구현</t>
        </is>
      </c>
      <c r="O13" s="6" t="inlineStr">
        <is>
          <t>TC-08-2</t>
        </is>
      </c>
      <c r="P13" s="6" t="inlineStr">
        <is>
          <t>현재 __simulate=UNAUTHORIZED 로만 재현</t>
        </is>
      </c>
    </row>
    <row r="14">
      <c r="A14" s="5" t="inlineStr">
        <is>
          <t>B-1-4</t>
        </is>
      </c>
      <c r="B14" s="6" t="inlineStr">
        <is>
          <t>B. 인증</t>
        </is>
      </c>
      <c r="C14" s="6" t="inlineStr">
        <is>
          <t>(8) 호출 Client 검증</t>
        </is>
      </c>
      <c r="D14" s="6" t="inlineStr">
        <is>
          <t>인증 결과 로그 출력</t>
        </is>
      </c>
      <c r="E14" s="5" t="inlineStr">
        <is>
          <t>BSL-F-08</t>
        </is>
      </c>
      <c r="F14" s="6" t="inlineStr">
        <is>
          <t>6.3 보안 필드</t>
        </is>
      </c>
      <c r="G14" s="6" t="inlineStr">
        <is>
          <t>-</t>
        </is>
      </c>
      <c r="H14" s="6" t="inlineStr">
        <is>
          <t>core/security/DummyClientAuthenticationService.java</t>
        </is>
      </c>
      <c r="I14" s="6" t="inlineStr">
        <is>
          <t>System.out [BSL-AUTHN]</t>
        </is>
      </c>
      <c r="J14" s="6" t="inlineStr">
        <is>
          <t>인증 결과를 콘솔로 출력</t>
        </is>
      </c>
      <c r="K14" s="6" t="inlineStr">
        <is>
          <t>clientId, userId, authType</t>
        </is>
      </c>
      <c r="L14" s="6" t="inlineStr">
        <is>
          <t>콘솔 로그 1행</t>
        </is>
      </c>
      <c r="M14" s="6" t="inlineStr">
        <is>
          <t>-</t>
        </is>
      </c>
      <c r="N14" s="11" t="inlineStr">
        <is>
          <t>Mock</t>
        </is>
      </c>
      <c r="O14" s="6" t="inlineStr">
        <is>
          <t>TC-08-1</t>
        </is>
      </c>
      <c r="P14" s="6" t="inlineStr">
        <is>
          <t>실구현 시 SLF4J 전환</t>
        </is>
      </c>
    </row>
    <row r="15">
      <c r="A15" s="5" t="inlineStr">
        <is>
          <t>B-2-1</t>
        </is>
      </c>
      <c r="B15" s="6" t="inlineStr">
        <is>
          <t>B. 인증</t>
        </is>
      </c>
      <c r="C15" s="6" t="inlineStr">
        <is>
          <t>(9) SSO 사용자 Context 추출</t>
        </is>
      </c>
      <c r="D15" s="6" t="inlineStr">
        <is>
          <t>사용자 ID 추출</t>
        </is>
      </c>
      <c r="E15" s="5" t="inlineStr">
        <is>
          <t>BSL-F-09</t>
        </is>
      </c>
      <c r="F15" s="6" t="inlineStr">
        <is>
          <t>4.3-9 / 1.2</t>
        </is>
      </c>
      <c r="G15" s="6" t="inlineStr">
        <is>
          <t>Header X-User-ID (조건부)</t>
        </is>
      </c>
      <c r="H15" s="6" t="inlineStr">
        <is>
          <t>core/context/HttpHeaderRequestContextResolver.java</t>
        </is>
      </c>
      <c r="I15" s="6" t="inlineStr">
        <is>
          <t>resolve(...)  Executor:97</t>
        </is>
      </c>
      <c r="J15" s="6" t="inlineStr">
        <is>
          <t>Header 우선, 없으면 Mock 사용자(E00000)</t>
        </is>
      </c>
      <c r="K15" s="6" t="inlineStr">
        <is>
          <t>X-User-ID</t>
        </is>
      </c>
      <c r="L15" s="6" t="inlineStr">
        <is>
          <t>ServiceContext.userId</t>
        </is>
      </c>
      <c r="M15" s="7" t="inlineStr">
        <is>
          <t>BS-AUTH-001</t>
        </is>
      </c>
      <c r="N15" s="11" t="inlineStr">
        <is>
          <t>Mock</t>
        </is>
      </c>
      <c r="O15" s="6" t="inlineStr">
        <is>
          <t>TC-09-1</t>
        </is>
      </c>
      <c r="P15" s="6" t="inlineStr">
        <is>
          <t>실구현 시 SSO Token Claim 사용</t>
        </is>
      </c>
    </row>
    <row r="16">
      <c r="A16" s="5" t="inlineStr">
        <is>
          <t>B-2-2</t>
        </is>
      </c>
      <c r="B16" s="6" t="inlineStr">
        <is>
          <t>B. 인증</t>
        </is>
      </c>
      <c r="C16" s="6" t="inlineStr">
        <is>
          <t>(9) SSO 사용자 Context 추출</t>
        </is>
      </c>
      <c r="D16" s="6" t="inlineStr">
        <is>
          <t>부서코드 설정</t>
        </is>
      </c>
      <c r="E16" s="5" t="inlineStr">
        <is>
          <t>BSL-F-09</t>
        </is>
      </c>
      <c r="F16" s="6" t="inlineStr">
        <is>
          <t>6.3 호출자 필드</t>
        </is>
      </c>
      <c r="G16" s="6" t="inlineStr">
        <is>
          <t>-</t>
        </is>
      </c>
      <c r="H16" s="6" t="inlineStr">
        <is>
          <t>core/context/HttpHeaderRequestContextResolver.java</t>
        </is>
      </c>
      <c r="I16" s="6" t="inlineStr">
        <is>
          <t>MOCK_DEPARTMENT_CODE</t>
        </is>
      </c>
      <c r="J16" s="6" t="inlineStr">
        <is>
          <t>감사 department_code 확보</t>
        </is>
      </c>
      <c r="K16" s="6" t="inlineStr">
        <is>
          <t>-</t>
        </is>
      </c>
      <c r="L16" s="6" t="inlineStr">
        <is>
          <t>ServiceContext.departmentCode</t>
        </is>
      </c>
      <c r="M16" s="6" t="inlineStr">
        <is>
          <t>-</t>
        </is>
      </c>
      <c r="N16" s="11" t="inlineStr">
        <is>
          <t>Mock</t>
        </is>
      </c>
      <c r="O16" s="6" t="inlineStr">
        <is>
          <t>TC-09-1</t>
        </is>
      </c>
      <c r="P16" s="6" t="inlineStr">
        <is>
          <t>현재 IT001 고정</t>
        </is>
      </c>
    </row>
    <row r="17">
      <c r="A17" s="5" t="inlineStr">
        <is>
          <t>B-2-3</t>
        </is>
      </c>
      <c r="B17" s="6" t="inlineStr">
        <is>
          <t>B. 인증</t>
        </is>
      </c>
      <c r="C17" s="6" t="inlineStr">
        <is>
          <t>(9) SSO 사용자 Context 추출</t>
        </is>
      </c>
      <c r="D17" s="6" t="inlineStr">
        <is>
          <t>사용자 역할 목록 설정</t>
        </is>
      </c>
      <c r="E17" s="5" t="inlineStr">
        <is>
          <t>BSL-F-09</t>
        </is>
      </c>
      <c r="F17" s="6" t="inlineStr">
        <is>
          <t>6.2 권한 원칙</t>
        </is>
      </c>
      <c r="G17" s="6" t="inlineStr">
        <is>
          <t>-</t>
        </is>
      </c>
      <c r="H17" s="6" t="inlineStr">
        <is>
          <t>core/context/HttpHeaderRequestContextResolver.java</t>
        </is>
      </c>
      <c r="I17" s="6" t="inlineStr">
        <is>
          <t>MOCK_ROLES</t>
        </is>
      </c>
      <c r="J17" s="6" t="inlineStr">
        <is>
          <t>권한 판정 기준 역할 확보</t>
        </is>
      </c>
      <c r="K17" s="6" t="inlineStr">
        <is>
          <t>-</t>
        </is>
      </c>
      <c r="L17" s="6" t="inlineStr">
        <is>
          <t>ServiceContext.roles</t>
        </is>
      </c>
      <c r="M17" s="6" t="inlineStr">
        <is>
          <t>-</t>
        </is>
      </c>
      <c r="N17" s="11" t="inlineStr">
        <is>
          <t>Mock</t>
        </is>
      </c>
      <c r="O17" s="6" t="inlineStr">
        <is>
          <t>TC-11-1</t>
        </is>
      </c>
      <c r="P17" s="6" t="inlineStr">
        <is>
          <t>현재 IFRS17_USER 외 1건 고정</t>
        </is>
      </c>
    </row>
    <row r="18">
      <c r="A18" s="5" t="inlineStr">
        <is>
          <t>B-2-4</t>
        </is>
      </c>
      <c r="B18" s="6" t="inlineStr">
        <is>
          <t>B. 인증</t>
        </is>
      </c>
      <c r="C18" s="6" t="inlineStr">
        <is>
          <t>(9) SSO 사용자 Context 추출</t>
        </is>
      </c>
      <c r="D18" s="6" t="inlineStr">
        <is>
          <t>인증유형·원격IP 기록</t>
        </is>
      </c>
      <c r="E18" s="5" t="inlineStr">
        <is>
          <t>BSL-F-09</t>
        </is>
      </c>
      <c r="F18" s="6" t="inlineStr">
        <is>
          <t>6.3 보안 필드</t>
        </is>
      </c>
      <c r="G18" s="6" t="inlineStr">
        <is>
          <t>Header X-Forwarded-For</t>
        </is>
      </c>
      <c r="H18" s="6" t="inlineStr">
        <is>
          <t>core/context/HttpHeaderRequestContextResolver.java</t>
        </is>
      </c>
      <c r="I18" s="6" t="inlineStr">
        <is>
          <t>resolveRemoteIp()</t>
        </is>
      </c>
      <c r="J18" s="6" t="inlineStr">
        <is>
          <t>감사 remote_ip / auth_type 확보</t>
        </is>
      </c>
      <c r="K18" s="6" t="inlineStr">
        <is>
          <t>X-Forwarded-For, RemoteAddr</t>
        </is>
      </c>
      <c r="L18" s="6" t="inlineStr">
        <is>
          <t>ServiceContext.remoteIp, authType</t>
        </is>
      </c>
      <c r="M18" s="6" t="inlineStr">
        <is>
          <t>-</t>
        </is>
      </c>
      <c r="N18" s="8" t="inlineStr">
        <is>
          <t>완료</t>
        </is>
      </c>
      <c r="O18" s="6" t="inlineStr">
        <is>
          <t>TC-13-1</t>
        </is>
      </c>
      <c r="P18" s="6" t="inlineStr"/>
    </row>
    <row r="19">
      <c r="A19" s="5" t="inlineStr">
        <is>
          <t>B-2-5</t>
        </is>
      </c>
      <c r="B19" s="6" t="inlineStr">
        <is>
          <t>B. 인증</t>
        </is>
      </c>
      <c r="C19" s="6" t="inlineStr">
        <is>
          <t>(9) SSO 사용자 Context 추출</t>
        </is>
      </c>
      <c r="D19" s="6" t="inlineStr">
        <is>
          <t>Locale 설정</t>
        </is>
      </c>
      <c r="E19" s="5" t="inlineStr">
        <is>
          <t>BSL-F-09</t>
        </is>
      </c>
      <c r="F19" s="6" t="inlineStr">
        <is>
          <t>5.3 options</t>
        </is>
      </c>
      <c r="G19" s="6" t="inlineStr">
        <is>
          <t>Body options.locale</t>
        </is>
      </c>
      <c r="H19" s="6" t="inlineStr">
        <is>
          <t>core/context/HttpHeaderRequestContextResolver.java</t>
        </is>
      </c>
      <c r="I19" s="6" t="inlineStr">
        <is>
          <t>resolve(...)</t>
        </is>
      </c>
      <c r="J19" s="6" t="inlineStr">
        <is>
          <t>응답 메시지 Locale 결정 (기본 ko-KR)</t>
        </is>
      </c>
      <c r="K19" s="6" t="inlineStr">
        <is>
          <t>options.locale</t>
        </is>
      </c>
      <c r="L19" s="6" t="inlineStr">
        <is>
          <t>ServiceContext.locale</t>
        </is>
      </c>
      <c r="M19" s="6" t="inlineStr">
        <is>
          <t>-</t>
        </is>
      </c>
      <c r="N19" s="8" t="inlineStr">
        <is>
          <t>완료</t>
        </is>
      </c>
      <c r="O19" s="6" t="inlineStr">
        <is>
          <t>-</t>
        </is>
      </c>
      <c r="P19" s="6" t="inlineStr"/>
    </row>
    <row r="20">
      <c r="A20" s="2" t="inlineStr">
        <is>
          <t>C-1-1</t>
        </is>
      </c>
      <c r="B20" s="3" t="inlineStr">
        <is>
          <t>C. 서비스 확정·인가</t>
        </is>
      </c>
      <c r="C20" s="3" t="inlineStr">
        <is>
          <t>(10) Service Catalog 활성 버전 조회</t>
        </is>
      </c>
      <c r="D20" s="3" t="inlineStr">
        <is>
          <t>Catalog 단건 조회</t>
        </is>
      </c>
      <c r="E20" s="2" t="inlineStr">
        <is>
          <t>BSL-F-10</t>
        </is>
      </c>
      <c r="F20" s="3" t="inlineStr">
        <is>
          <t>4.3-10 / 4.2 / 7.2</t>
        </is>
      </c>
      <c r="G20" s="3" t="inlineStr">
        <is>
          <t>-</t>
        </is>
      </c>
      <c r="H20" s="3" t="inlineStr">
        <is>
          <t>core/metadata/InMemoryServiceMetadataRepository.java</t>
        </is>
      </c>
      <c r="I20" s="3" t="inlineStr">
        <is>
          <t>findActive(serviceId, version)  Executor:103</t>
        </is>
      </c>
      <c r="J20" s="3" t="inlineStr">
        <is>
          <t>serviceId 로 서비스 메타데이터 조회</t>
        </is>
      </c>
      <c r="K20" s="3" t="inlineStr">
        <is>
          <t>serviceId</t>
        </is>
      </c>
      <c r="L20" s="3" t="inlineStr">
        <is>
          <t>ServiceMetadata 또는 null</t>
        </is>
      </c>
      <c r="M20" s="7" t="inlineStr">
        <is>
          <t>BS-SVC-404</t>
        </is>
      </c>
      <c r="N20" s="9" t="inlineStr">
        <is>
          <t>Mock</t>
        </is>
      </c>
      <c r="O20" s="3" t="inlineStr">
        <is>
          <t>TC-10-1</t>
        </is>
      </c>
      <c r="P20" s="3" t="inlineStr">
        <is>
          <t>Interface: ServiceMetadataRepository</t>
        </is>
      </c>
    </row>
    <row r="21">
      <c r="A21" s="5" t="inlineStr">
        <is>
          <t>C-1-2</t>
        </is>
      </c>
      <c r="B21" s="6" t="inlineStr">
        <is>
          <t>C. 서비스 확정·인가</t>
        </is>
      </c>
      <c r="C21" s="6" t="inlineStr">
        <is>
          <t>(10) Service Catalog 활성 버전 조회</t>
        </is>
      </c>
      <c r="D21" s="6" t="inlineStr">
        <is>
          <t>활성(사용) 여부 판정</t>
        </is>
      </c>
      <c r="E21" s="5" t="inlineStr">
        <is>
          <t>BSL-F-10</t>
        </is>
      </c>
      <c r="F21" s="6" t="inlineStr">
        <is>
          <t>8.4 / 8.7 CON-ACC-03</t>
        </is>
      </c>
      <c r="G21" s="6" t="inlineStr">
        <is>
          <t>-</t>
        </is>
      </c>
      <c r="H21" s="6" t="inlineStr">
        <is>
          <t>core/metadata/InMemoryServiceMetadataRepository.java</t>
        </is>
      </c>
      <c r="I21" s="6" t="inlineStr">
        <is>
          <t>metadata.isActive()</t>
        </is>
      </c>
      <c r="J21" s="6" t="inlineStr">
        <is>
          <t>미사용 전환된 서비스의 신규 호출 차단</t>
        </is>
      </c>
      <c r="K21" s="6" t="inlineStr">
        <is>
          <t>ServiceMetadata.active</t>
        </is>
      </c>
      <c r="L21" s="6" t="inlineStr">
        <is>
          <t>null 반환 → 404</t>
        </is>
      </c>
      <c r="M21" s="7" t="inlineStr">
        <is>
          <t>BS-SVC-404</t>
        </is>
      </c>
      <c r="N21" s="11" t="inlineStr">
        <is>
          <t>Mock</t>
        </is>
      </c>
      <c r="O21" s="6" t="inlineStr">
        <is>
          <t>TC-10-2</t>
        </is>
      </c>
      <c r="P21" s="6" t="inlineStr">
        <is>
          <t>Console 사용여부와 연동</t>
        </is>
      </c>
    </row>
    <row r="22">
      <c r="A22" s="5" t="inlineStr">
        <is>
          <t>C-1-3</t>
        </is>
      </c>
      <c r="B22" s="6" t="inlineStr">
        <is>
          <t>C. 서비스 확정·인가</t>
        </is>
      </c>
      <c r="C22" s="6" t="inlineStr">
        <is>
          <t>(10) Service Catalog 활성 버전 조회</t>
        </is>
      </c>
      <c r="D22" s="6" t="inlineStr">
        <is>
          <t>요청 버전 일치 판정</t>
        </is>
      </c>
      <c r="E22" s="5" t="inlineStr">
        <is>
          <t>BSL-F-10</t>
        </is>
      </c>
      <c r="F22" s="6" t="inlineStr">
        <is>
          <t>5.6 버전 및 호환성</t>
        </is>
      </c>
      <c r="G22" s="6" t="inlineStr">
        <is>
          <t>Body serviceVersion</t>
        </is>
      </c>
      <c r="H22" s="6" t="inlineStr">
        <is>
          <t>core/metadata/InMemoryServiceMetadataRepository.java</t>
        </is>
      </c>
      <c r="I22" s="6" t="inlineStr">
        <is>
          <t>version 비교</t>
        </is>
      </c>
      <c r="J22" s="6" t="inlineStr">
        <is>
          <t>요청 버전과 Catalog 활성 버전 대조</t>
        </is>
      </c>
      <c r="K22" s="6" t="inlineStr">
        <is>
          <t>serviceVersion</t>
        </is>
      </c>
      <c r="L22" s="6" t="inlineStr">
        <is>
          <t>null 반환 → 404</t>
        </is>
      </c>
      <c r="M22" s="7" t="inlineStr">
        <is>
          <t>BS-SVC-404</t>
        </is>
      </c>
      <c r="N22" s="11" t="inlineStr">
        <is>
          <t>Mock</t>
        </is>
      </c>
      <c r="O22" s="6" t="inlineStr">
        <is>
          <t>TC-10-3</t>
        </is>
      </c>
      <c r="P22" s="6" t="inlineStr">
        <is>
          <t>미입력 시 활성 버전 자동 적용</t>
        </is>
      </c>
    </row>
    <row r="23">
      <c r="A23" s="5" t="inlineStr">
        <is>
          <t>C-1-4</t>
        </is>
      </c>
      <c r="B23" s="6" t="inlineStr">
        <is>
          <t>C. 서비스 확정·인가</t>
        </is>
      </c>
      <c r="C23" s="6" t="inlineStr">
        <is>
          <t>(10) Service Catalog 활성 버전 조회</t>
        </is>
      </c>
      <c r="D23" s="6" t="inlineStr">
        <is>
          <t>미존재·비활성 예외 발생</t>
        </is>
      </c>
      <c r="E23" s="5" t="inlineStr">
        <is>
          <t>BSL-F-10</t>
        </is>
      </c>
      <c r="F23" s="6" t="inlineStr">
        <is>
          <t>4.5 예외 처리 기준</t>
        </is>
      </c>
      <c r="G23" s="6" t="inlineStr">
        <is>
          <t>-</t>
        </is>
      </c>
      <c r="H23" s="6" t="inlineStr">
        <is>
          <t>core/exception/ServiceNotFoundException.java</t>
        </is>
      </c>
      <c r="I23" s="6" t="inlineStr">
        <is>
          <t>Executor:104</t>
        </is>
      </c>
      <c r="J23" s="6" t="inlineStr">
        <is>
          <t>조회 결과 null 시 표준 예외 발생</t>
        </is>
      </c>
      <c r="K23" s="6" t="inlineStr">
        <is>
          <t>null</t>
        </is>
      </c>
      <c r="L23" s="6" t="inlineStr">
        <is>
          <t>ServiceNotFoundException</t>
        </is>
      </c>
      <c r="M23" s="7" t="inlineStr">
        <is>
          <t>BS-SVC-404</t>
        </is>
      </c>
      <c r="N23" s="8" t="inlineStr">
        <is>
          <t>완료</t>
        </is>
      </c>
      <c r="O23" s="6" t="inlineStr">
        <is>
          <t>TC-10-1</t>
        </is>
      </c>
      <c r="P23" s="6" t="inlineStr"/>
    </row>
    <row r="24">
      <c r="A24" s="5" t="inlineStr">
        <is>
          <t>C-1-5</t>
        </is>
      </c>
      <c r="B24" s="6" t="inlineStr">
        <is>
          <t>C. 서비스 확정·인가</t>
        </is>
      </c>
      <c r="C24" s="6" t="inlineStr">
        <is>
          <t>(10) Service Catalog 활성 버전 조회</t>
        </is>
      </c>
      <c r="D24" s="6" t="inlineStr">
        <is>
          <t>Context 서비스 버전 확정</t>
        </is>
      </c>
      <c r="E24" s="5" t="inlineStr">
        <is>
          <t>BSL-F-10</t>
        </is>
      </c>
      <c r="F24" s="6" t="inlineStr">
        <is>
          <t>5.4 응답 serviceVersion</t>
        </is>
      </c>
      <c r="G24" s="6" t="inlineStr">
        <is>
          <t>-</t>
        </is>
      </c>
      <c r="H24" s="6" t="inlineStr">
        <is>
          <t>core/context/ServiceContext.java</t>
        </is>
      </c>
      <c r="I24" s="6" t="inlineStr">
        <is>
          <t>setServiceVersion()  Executor:108</t>
        </is>
      </c>
      <c r="J24" s="6" t="inlineStr">
        <is>
          <t>응답·감사에 사용할 확정 버전 기록</t>
        </is>
      </c>
      <c r="K24" s="6" t="inlineStr">
        <is>
          <t>ServiceMetadata.version</t>
        </is>
      </c>
      <c r="L24" s="6" t="inlineStr">
        <is>
          <t>ServiceContext.serviceVersion</t>
        </is>
      </c>
      <c r="M24" s="6" t="inlineStr">
        <is>
          <t>-</t>
        </is>
      </c>
      <c r="N24" s="8" t="inlineStr">
        <is>
          <t>완료</t>
        </is>
      </c>
      <c r="O24" s="6" t="inlineStr">
        <is>
          <t>TC-18-2</t>
        </is>
      </c>
      <c r="P24" s="6" t="inlineStr"/>
    </row>
    <row r="25">
      <c r="A25" s="5" t="inlineStr">
        <is>
          <t>C-2-1</t>
        </is>
      </c>
      <c r="B25" s="6" t="inlineStr">
        <is>
          <t>C. 서비스 확정·인가</t>
        </is>
      </c>
      <c r="C25" s="6" t="inlineStr">
        <is>
          <t>(11) 서비스/역할 권한 확인</t>
        </is>
      </c>
      <c r="D25" s="6" t="inlineStr">
        <is>
          <t>공통 역할 대조</t>
        </is>
      </c>
      <c r="E25" s="5" t="inlineStr">
        <is>
          <t>BSL-F-11</t>
        </is>
      </c>
      <c r="F25" s="6" t="inlineStr">
        <is>
          <t>4.3-11 / 6.1 / 6.2</t>
        </is>
      </c>
      <c r="G25" s="6" t="inlineStr">
        <is>
          <t>-</t>
        </is>
      </c>
      <c r="H25" s="6" t="inlineStr">
        <is>
          <t>core/security/DummyAuthorizationService.java</t>
        </is>
      </c>
      <c r="I25" s="6" t="inlineStr">
        <is>
          <t>authorize(context, metadata)  Executor:111</t>
        </is>
      </c>
      <c r="J25" s="6" t="inlineStr">
        <is>
          <t>사용자 역할 × 서비스 요구역할 대조 (현재 Always ALLOW)</t>
        </is>
      </c>
      <c r="K25" s="6" t="inlineStr">
        <is>
          <t>context.roles, metadata.requiredRoles</t>
        </is>
      </c>
      <c r="L25" s="6" t="inlineStr">
        <is>
          <t>통과 또는 AuthorizationException</t>
        </is>
      </c>
      <c r="M25" s="7" t="inlineStr">
        <is>
          <t>BS-AUTH-003</t>
        </is>
      </c>
      <c r="N25" s="11" t="inlineStr">
        <is>
          <t>Mock</t>
        </is>
      </c>
      <c r="O25" s="6" t="inlineStr">
        <is>
          <t>TC-11-1</t>
        </is>
      </c>
      <c r="P25" s="6" t="inlineStr">
        <is>
          <t>실구현 시 BS_SERVICE_ROLE 조회</t>
        </is>
      </c>
    </row>
    <row r="26">
      <c r="A26" s="5" t="inlineStr">
        <is>
          <t>C-2-2</t>
        </is>
      </c>
      <c r="B26" s="6" t="inlineStr">
        <is>
          <t>C. 서비스 확정·인가</t>
        </is>
      </c>
      <c r="C26" s="6" t="inlineStr">
        <is>
          <t>(11) 서비스/역할 권한 확인</t>
        </is>
      </c>
      <c r="D26" s="6" t="inlineStr">
        <is>
          <t>인가 결과 로그 출력</t>
        </is>
      </c>
      <c r="E26" s="5" t="inlineStr">
        <is>
          <t>BSL-F-11</t>
        </is>
      </c>
      <c r="F26" s="6" t="inlineStr">
        <is>
          <t>6.3 authorization_result</t>
        </is>
      </c>
      <c r="G26" s="6" t="inlineStr">
        <is>
          <t>-</t>
        </is>
      </c>
      <c r="H26" s="6" t="inlineStr">
        <is>
          <t>core/security/DummyAuthorizationService.java</t>
        </is>
      </c>
      <c r="I26" s="6" t="inlineStr">
        <is>
          <t>System.out [BSL-AUTHZ]</t>
        </is>
      </c>
      <c r="J26" s="6" t="inlineStr">
        <is>
          <t>허용/거부 판정 결과 기록</t>
        </is>
      </c>
      <c r="K26" s="6" t="inlineStr">
        <is>
          <t>roles, requiredRoles</t>
        </is>
      </c>
      <c r="L26" s="6" t="inlineStr">
        <is>
          <t>콘솔 로그 1행</t>
        </is>
      </c>
      <c r="M26" s="6" t="inlineStr">
        <is>
          <t>-</t>
        </is>
      </c>
      <c r="N26" s="11" t="inlineStr">
        <is>
          <t>Mock</t>
        </is>
      </c>
      <c r="O26" s="6" t="inlineStr">
        <is>
          <t>TC-11-1</t>
        </is>
      </c>
      <c r="P26" s="6" t="inlineStr"/>
    </row>
    <row r="27">
      <c r="A27" s="5" t="inlineStr">
        <is>
          <t>C-2-3</t>
        </is>
      </c>
      <c r="B27" s="6" t="inlineStr">
        <is>
          <t>C. 서비스 확정·인가</t>
        </is>
      </c>
      <c r="C27" s="6" t="inlineStr">
        <is>
          <t>(11) 서비스/역할 권한 확인</t>
        </is>
      </c>
      <c r="D27" s="6" t="inlineStr">
        <is>
          <t>업무 파라미터 기반 추가 인가</t>
        </is>
      </c>
      <c r="E27" s="5" t="inlineStr">
        <is>
          <t>BSL-F-11</t>
        </is>
      </c>
      <c r="F27" s="6" t="inlineStr">
        <is>
          <t>6.1-5단계</t>
        </is>
      </c>
      <c r="G27" s="6" t="inlineStr">
        <is>
          <t>-</t>
        </is>
      </c>
      <c r="H27" s="6" t="inlineStr">
        <is>
          <t>core/workflow/BusinessServiceHandler.java (도메인 5종 구현)</t>
        </is>
      </c>
      <c r="I27" s="6" t="inlineStr">
        <is>
          <t>handler.authorize(context, req)  Executor:123</t>
        </is>
      </c>
      <c r="J27" s="6" t="inlineStr">
        <is>
          <t>기준년월·포트폴리오 등 데이터 단위 권한 확인</t>
        </is>
      </c>
      <c r="K27" s="6" t="inlineStr">
        <is>
          <t>도메인 Request DTO</t>
        </is>
      </c>
      <c r="L27" s="6" t="inlineStr">
        <is>
          <t>통과 또는 AuthorizationException</t>
        </is>
      </c>
      <c r="M27" s="7" t="inlineStr">
        <is>
          <t>BS-AUTH-003</t>
        </is>
      </c>
      <c r="N27" s="11" t="inlineStr">
        <is>
          <t>Mock</t>
        </is>
      </c>
      <c r="O27" s="6" t="inlineStr">
        <is>
          <t>TC-11-1</t>
        </is>
      </c>
      <c r="P27" s="6" t="inlineStr">
        <is>
          <t>현재 5종 모두 검사 없음</t>
        </is>
      </c>
    </row>
    <row r="28">
      <c r="A28" s="2" t="inlineStr">
        <is>
          <t>D-1-1</t>
        </is>
      </c>
      <c r="B28" s="3" t="inlineStr">
        <is>
          <t>D. 입력 검증</t>
        </is>
      </c>
      <c r="C28" s="3" t="inlineStr">
        <is>
          <t>(12) 입력 Schema 및 업무 파라미터 검증</t>
        </is>
      </c>
      <c r="D28" s="3" t="inlineStr">
        <is>
          <t>Envelope 검증</t>
        </is>
      </c>
      <c r="E28" s="2" t="inlineStr">
        <is>
          <t>BSL-F-12</t>
        </is>
      </c>
      <c r="F28" s="3" t="inlineStr">
        <is>
          <t>4.3-12 / 5.3</t>
        </is>
      </c>
      <c r="G28" s="3" t="inlineStr">
        <is>
          <t>-</t>
        </is>
      </c>
      <c r="H28" s="3" t="inlineStr">
        <is>
          <t>core/validator/StandardRequestValidator.java</t>
        </is>
      </c>
      <c r="I28" s="3" t="inlineStr">
        <is>
          <t>validate(request, metadata)  Executor:115</t>
        </is>
      </c>
      <c r="J28" s="3" t="inlineStr">
        <is>
          <t>parameters 존재 여부 등 Envelope 규격 검증</t>
        </is>
      </c>
      <c r="K28" s="3" t="inlineStr">
        <is>
          <t>StandardRequest</t>
        </is>
      </c>
      <c r="L28" s="3" t="inlineStr">
        <is>
          <t>통과 또는 ValidationException</t>
        </is>
      </c>
      <c r="M28" s="7" t="inlineStr">
        <is>
          <t>BS-VAL-001</t>
        </is>
      </c>
      <c r="N28" s="4" t="inlineStr">
        <is>
          <t>완료</t>
        </is>
      </c>
      <c r="O28" s="3" t="inlineStr">
        <is>
          <t>TC-12-2</t>
        </is>
      </c>
      <c r="P28" s="3" t="inlineStr">
        <is>
          <t>serviceVersion 검증부는 도달 불가(중복) — 정리 대상</t>
        </is>
      </c>
    </row>
    <row r="29">
      <c r="A29" s="5" t="inlineStr">
        <is>
          <t>D-1-2</t>
        </is>
      </c>
      <c r="B29" s="6" t="inlineStr">
        <is>
          <t>D. 입력 검증</t>
        </is>
      </c>
      <c r="C29" s="6" t="inlineStr">
        <is>
          <t>(12) 입력 Schema 및 업무 파라미터 검증</t>
        </is>
      </c>
      <c r="D29" s="6" t="inlineStr">
        <is>
          <t>Map → 도메인 DTO 바인딩</t>
        </is>
      </c>
      <c r="E29" s="5" t="inlineStr">
        <is>
          <t>BSL-F-12</t>
        </is>
      </c>
      <c r="F29" s="6" t="inlineStr">
        <is>
          <t>10.5 금지사항</t>
        </is>
      </c>
      <c r="G29" s="6" t="inlineStr">
        <is>
          <t>-</t>
        </is>
      </c>
      <c r="H29" s="6" t="inlineStr">
        <is>
          <t>core/validator/ParameterBinder.java</t>
        </is>
      </c>
      <c r="I29" s="6" t="inlineStr">
        <is>
          <t>bind(parameters, handler.requestType())  Executor:119</t>
        </is>
      </c>
      <c r="J29" s="6" t="inlineStr">
        <is>
          <t>Map 을 타입 있는 요청 DTO 로 변환</t>
        </is>
      </c>
      <c r="K29" s="6" t="inlineStr">
        <is>
          <t>parameters(Map)</t>
        </is>
      </c>
      <c r="L29" s="6" t="inlineStr">
        <is>
          <t>ClosingStatusRequest 등</t>
        </is>
      </c>
      <c r="M29" s="7" t="inlineStr">
        <is>
          <t>BS-VAL-001</t>
        </is>
      </c>
      <c r="N29" s="8" t="inlineStr">
        <is>
          <t>완료</t>
        </is>
      </c>
      <c r="O29" s="6" t="inlineStr">
        <is>
          <t>TC-12-1</t>
        </is>
      </c>
      <c r="P29" s="6" t="inlineStr">
        <is>
          <t>Entity/Map 무검증 사용 금지 대응</t>
        </is>
      </c>
    </row>
    <row r="30">
      <c r="A30" s="5" t="inlineStr">
        <is>
          <t>D-1-3</t>
        </is>
      </c>
      <c r="B30" s="6" t="inlineStr">
        <is>
          <t>D. 입력 검증</t>
        </is>
      </c>
      <c r="C30" s="6" t="inlineStr">
        <is>
          <t>(12) 입력 Schema 및 업무 파라미터 검증</t>
        </is>
      </c>
      <c r="D30" s="6" t="inlineStr">
        <is>
          <t>기준년월 형식 검증</t>
        </is>
      </c>
      <c r="E30" s="5" t="inlineStr">
        <is>
          <t>BSL-F-12</t>
        </is>
      </c>
      <c r="F30" s="6" t="inlineStr">
        <is>
          <t>9.1~9.5</t>
        </is>
      </c>
      <c r="G30" s="6" t="inlineStr">
        <is>
          <t>-</t>
        </is>
      </c>
      <c r="H30" s="6" t="inlineStr">
        <is>
          <t>core/validator/ValidationUtils.java</t>
        </is>
      </c>
      <c r="I30" s="6" t="inlineStr">
        <is>
          <t>requireYearMonth(field, value)</t>
        </is>
      </c>
      <c r="J30" s="6" t="inlineStr">
        <is>
          <t>YYYY-MM 정규식 검증 (필수값 포함)</t>
        </is>
      </c>
      <c r="K30" s="6" t="inlineStr">
        <is>
          <t>closingYearMonth</t>
        </is>
      </c>
      <c r="L30" s="6" t="inlineStr">
        <is>
          <t>통과 또는 ValidationException(details 포함)</t>
        </is>
      </c>
      <c r="M30" s="7" t="inlineStr">
        <is>
          <t>BS-VAL-001</t>
        </is>
      </c>
      <c r="N30" s="8" t="inlineStr">
        <is>
          <t>완료</t>
        </is>
      </c>
      <c r="O30" s="6" t="inlineStr">
        <is>
          <t>TC-12-1</t>
        </is>
      </c>
      <c r="P30" s="6" t="inlineStr">
        <is>
          <t>5개 서비스 공통 필수 파라미터</t>
        </is>
      </c>
    </row>
    <row r="31">
      <c r="A31" s="5" t="inlineStr">
        <is>
          <t>D-1-4</t>
        </is>
      </c>
      <c r="B31" s="6" t="inlineStr">
        <is>
          <t>D. 입력 검증</t>
        </is>
      </c>
      <c r="C31" s="6" t="inlineStr">
        <is>
          <t>(12) 입력 Schema 및 업무 파라미터 검증</t>
        </is>
      </c>
      <c r="D31" s="6" t="inlineStr">
        <is>
          <t>허용 길이·범위 검증</t>
        </is>
      </c>
      <c r="E31" s="5" t="inlineStr">
        <is>
          <t>BSL-F-12</t>
        </is>
      </c>
      <c r="F31" s="6" t="inlineStr">
        <is>
          <t>부록A BS-VAL-002</t>
        </is>
      </c>
      <c r="G31" s="6" t="inlineStr">
        <is>
          <t>-</t>
        </is>
      </c>
      <c r="H31" s="6" t="inlineStr">
        <is>
          <t>core/validator/ValidationUtils.java</t>
        </is>
      </c>
      <c r="I31" s="6" t="inlineStr">
        <is>
          <t>maxLength(field, value, max)</t>
        </is>
      </c>
      <c r="J31" s="6" t="inlineStr">
        <is>
          <t>선택 파라미터 길이 제한 검증</t>
        </is>
      </c>
      <c r="K31" s="6" t="inlineStr">
        <is>
          <t>closingType, journalType 등</t>
        </is>
      </c>
      <c r="L31" s="6" t="inlineStr">
        <is>
          <t>통과 또는 ValidationException</t>
        </is>
      </c>
      <c r="M31" s="7" t="inlineStr">
        <is>
          <t>BS-VAL-002</t>
        </is>
      </c>
      <c r="N31" s="10" t="inlineStr">
        <is>
          <t>미구현</t>
        </is>
      </c>
      <c r="O31" s="6" t="inlineStr">
        <is>
          <t>-</t>
        </is>
      </c>
      <c r="P31" s="6" t="inlineStr">
        <is>
          <t>현재 BS-VAL-001 로 반환 — 코드 분리 필요</t>
        </is>
      </c>
    </row>
    <row r="32">
      <c r="A32" s="5" t="inlineStr">
        <is>
          <t>D-1-5</t>
        </is>
      </c>
      <c r="B32" s="6" t="inlineStr">
        <is>
          <t>D. 입력 검증</t>
        </is>
      </c>
      <c r="C32" s="6" t="inlineStr">
        <is>
          <t>(12) 입력 Schema 및 업무 파라미터 검증</t>
        </is>
      </c>
      <c r="D32" s="6" t="inlineStr">
        <is>
          <t>서비스별 업무 검증</t>
        </is>
      </c>
      <c r="E32" s="5" t="inlineStr">
        <is>
          <t>BSL-F-12</t>
        </is>
      </c>
      <c r="F32" s="6" t="inlineStr">
        <is>
          <t>4.4 표준 인터페이스</t>
        </is>
      </c>
      <c r="G32" s="6" t="inlineStr">
        <is>
          <t>-</t>
        </is>
      </c>
      <c r="H32" s="6" t="inlineStr">
        <is>
          <t>domain/*/Dummy*StatusHandler.java (5종)</t>
        </is>
      </c>
      <c r="I32" s="6" t="inlineStr">
        <is>
          <t>handler.validate(context, req)  Executor:120</t>
        </is>
      </c>
      <c r="J32" s="6" t="inlineStr">
        <is>
          <t>서비스 고유 업무규칙 검증</t>
        </is>
      </c>
      <c r="K32" s="6" t="inlineStr">
        <is>
          <t>도메인 Request DTO</t>
        </is>
      </c>
      <c r="L32" s="6" t="inlineStr">
        <is>
          <t>통과 또는 ValidationException</t>
        </is>
      </c>
      <c r="M32" s="7" t="inlineStr">
        <is>
          <t>BS-VAL-001</t>
        </is>
      </c>
      <c r="N32" s="8" t="inlineStr">
        <is>
          <t>완료</t>
        </is>
      </c>
      <c r="O32" s="6" t="inlineStr">
        <is>
          <t>TC-12-1</t>
        </is>
      </c>
      <c r="P32" s="6" t="inlineStr"/>
    </row>
    <row r="33">
      <c r="A33" s="2" t="inlineStr">
        <is>
          <t>E-1-1</t>
        </is>
      </c>
      <c r="B33" s="3" t="inlineStr">
        <is>
          <t>E. 감사 시작</t>
        </is>
      </c>
      <c r="C33" s="3" t="inlineStr">
        <is>
          <t>(13) 감사 시작 로그 기록</t>
        </is>
      </c>
      <c r="D33" s="3" t="inlineStr">
        <is>
          <t>AuditRecord 생성</t>
        </is>
      </c>
      <c r="E33" s="2" t="inlineStr">
        <is>
          <t>BSL-F-13</t>
        </is>
      </c>
      <c r="F33" s="3" t="inlineStr">
        <is>
          <t>4.3-13 / 6.3</t>
        </is>
      </c>
      <c r="G33" s="3" t="inlineStr">
        <is>
          <t>-</t>
        </is>
      </c>
      <c r="H33" s="3" t="inlineStr">
        <is>
          <t>core/audit/AuditRecord.java</t>
        </is>
      </c>
      <c r="I33" s="3" t="inlineStr">
        <is>
          <t>AuditRecord.from(context)  Executor:126</t>
        </is>
      </c>
      <c r="J33" s="3" t="inlineStr">
        <is>
          <t>감사 필수항목 8분류를 Context 로부터 채움</t>
        </is>
      </c>
      <c r="K33" s="3" t="inlineStr">
        <is>
          <t>ServiceContext, ServiceMetadata</t>
        </is>
      </c>
      <c r="L33" s="3" t="inlineStr">
        <is>
          <t>AuditRecord</t>
        </is>
      </c>
      <c r="M33" s="3" t="inlineStr">
        <is>
          <t>-</t>
        </is>
      </c>
      <c r="N33" s="4" t="inlineStr">
        <is>
          <t>완료</t>
        </is>
      </c>
      <c r="O33" s="3" t="inlineStr">
        <is>
          <t>TC-13-1</t>
        </is>
      </c>
      <c r="P33" s="3" t="inlineStr">
        <is>
          <t>Interface: AuditLogger</t>
        </is>
      </c>
    </row>
    <row r="34">
      <c r="A34" s="5" t="inlineStr">
        <is>
          <t>E-1-2</t>
        </is>
      </c>
      <c r="B34" s="6" t="inlineStr">
        <is>
          <t>E. 감사 시작</t>
        </is>
      </c>
      <c r="C34" s="6" t="inlineStr">
        <is>
          <t>(13) 감사 시작 로그 기록</t>
        </is>
      </c>
      <c r="D34" s="6" t="inlineStr">
        <is>
          <t>파라미터 Hash 산출</t>
        </is>
      </c>
      <c r="E34" s="5" t="inlineStr">
        <is>
          <t>BSL-F-13</t>
        </is>
      </c>
      <c r="F34" s="6" t="inlineStr">
        <is>
          <t>6.4 로그 보존·마스킹</t>
        </is>
      </c>
      <c r="G34" s="6" t="inlineStr">
        <is>
          <t>-</t>
        </is>
      </c>
      <c r="H34" s="6" t="inlineStr">
        <is>
          <t>core/audit/ConsoleAuditLogger.java</t>
        </is>
      </c>
      <c r="I34" s="6" t="inlineStr">
        <is>
          <t>hash(parameters)</t>
        </is>
      </c>
      <c r="J34" s="6" t="inlineStr">
        <is>
          <t>Request 원문 저장 금지 → Hash 만 보관</t>
        </is>
      </c>
      <c r="K34" s="6" t="inlineStr">
        <is>
          <t>parameters(Map)</t>
        </is>
      </c>
      <c r="L34" s="6" t="inlineStr">
        <is>
          <t>parameterHash(8자리)</t>
        </is>
      </c>
      <c r="M34" s="6" t="inlineStr">
        <is>
          <t>-</t>
        </is>
      </c>
      <c r="N34" s="8" t="inlineStr">
        <is>
          <t>완료</t>
        </is>
      </c>
      <c r="O34" s="6" t="inlineStr">
        <is>
          <t>TC-13-1</t>
        </is>
      </c>
      <c r="P34" s="6" t="inlineStr">
        <is>
          <t>설계서 6.4 필수 준수 항목</t>
        </is>
      </c>
    </row>
    <row r="35">
      <c r="A35" s="5" t="inlineStr">
        <is>
          <t>E-1-3</t>
        </is>
      </c>
      <c r="B35" s="6" t="inlineStr">
        <is>
          <t>E. 감사 시작</t>
        </is>
      </c>
      <c r="C35" s="6" t="inlineStr">
        <is>
          <t>(13) 감사 시작 로그 기록</t>
        </is>
      </c>
      <c r="D35" s="6" t="inlineStr">
        <is>
          <t>운영 정보 세팅</t>
        </is>
      </c>
      <c r="E35" s="5" t="inlineStr">
        <is>
          <t>BSL-F-13</t>
        </is>
      </c>
      <c r="F35" s="6" t="inlineStr">
        <is>
          <t>6.3 운영 필드</t>
        </is>
      </c>
      <c r="G35" s="6" t="inlineStr">
        <is>
          <t>-</t>
        </is>
      </c>
      <c r="H35" s="6" t="inlineStr">
        <is>
          <t>core/audit/ConsoleAuditLogger.java</t>
        </is>
      </c>
      <c r="I35" s="6" t="inlineStr">
        <is>
          <t>SERVER_INSTANCE, APPLICATION_VERSION</t>
        </is>
      </c>
      <c r="J35" s="6" t="inlineStr">
        <is>
          <t>server_instance / application_version 기록</t>
        </is>
      </c>
      <c r="K35" s="6" t="inlineStr">
        <is>
          <t>-</t>
        </is>
      </c>
      <c r="L35" s="6" t="inlineStr">
        <is>
          <t>AuditRecord 운영 필드</t>
        </is>
      </c>
      <c r="M35" s="6" t="inlineStr">
        <is>
          <t>-</t>
        </is>
      </c>
      <c r="N35" s="11" t="inlineStr">
        <is>
          <t>Mock</t>
        </is>
      </c>
      <c r="O35" s="6" t="inlineStr">
        <is>
          <t>TC-13-1</t>
        </is>
      </c>
      <c r="P35" s="6" t="inlineStr">
        <is>
          <t>현재 상수 고정값</t>
        </is>
      </c>
    </row>
    <row r="36">
      <c r="A36" s="5" t="inlineStr">
        <is>
          <t>E-1-4</t>
        </is>
      </c>
      <c r="B36" s="6" t="inlineStr">
        <is>
          <t>E. 감사 시작</t>
        </is>
      </c>
      <c r="C36" s="6" t="inlineStr">
        <is>
          <t>(13) 감사 시작 로그 기록</t>
        </is>
      </c>
      <c r="D36" s="6" t="inlineStr">
        <is>
          <t>시작 로그 출력</t>
        </is>
      </c>
      <c r="E36" s="5" t="inlineStr">
        <is>
          <t>BSL-F-13</t>
        </is>
      </c>
      <c r="F36" s="6" t="inlineStr">
        <is>
          <t>4.3-13</t>
        </is>
      </c>
      <c r="G36" s="6" t="inlineStr">
        <is>
          <t>-</t>
        </is>
      </c>
      <c r="H36" s="6" t="inlineStr">
        <is>
          <t>core/audit/ConsoleAuditLogger.java</t>
        </is>
      </c>
      <c r="I36" s="6" t="inlineStr">
        <is>
          <t>start(context, metadata, parameters)</t>
        </is>
      </c>
      <c r="J36" s="6" t="inlineStr">
        <is>
          <t>[BSL-AUDIT-START] 1행 출력</t>
        </is>
      </c>
      <c r="K36" s="6" t="inlineStr">
        <is>
          <t>AuditRecord</t>
        </is>
      </c>
      <c r="L36" s="6" t="inlineStr">
        <is>
          <t>콘솔 로그 1행</t>
        </is>
      </c>
      <c r="M36" s="6" t="inlineStr">
        <is>
          <t>-</t>
        </is>
      </c>
      <c r="N36" s="11" t="inlineStr">
        <is>
          <t>Mock</t>
        </is>
      </c>
      <c r="O36" s="6" t="inlineStr">
        <is>
          <t>TC-13-1</t>
        </is>
      </c>
      <c r="P36" s="6" t="inlineStr"/>
    </row>
    <row r="37">
      <c r="A37" s="5" t="inlineStr">
        <is>
          <t>E-1-5</t>
        </is>
      </c>
      <c r="B37" s="6" t="inlineStr">
        <is>
          <t>E. 감사 시작</t>
        </is>
      </c>
      <c r="C37" s="6" t="inlineStr">
        <is>
          <t>(13) 감사 시작 로그 기록</t>
        </is>
      </c>
      <c r="D37" s="6" t="inlineStr">
        <is>
          <t>감사로그 DB 저장</t>
        </is>
      </c>
      <c r="E37" s="5" t="inlineStr">
        <is>
          <t>BSL-F-13</t>
        </is>
      </c>
      <c r="F37" s="6" t="inlineStr">
        <is>
          <t>7.3 bs_call_log</t>
        </is>
      </c>
      <c r="G37" s="6" t="inlineStr">
        <is>
          <t>-</t>
        </is>
      </c>
      <c r="H37" s="6" t="inlineStr">
        <is>
          <t>persistence/mapper/BsCallLogMapper.java (계약만)</t>
        </is>
      </c>
      <c r="I37" s="6" t="inlineStr">
        <is>
          <t>insertStart(BsCallLog)</t>
        </is>
      </c>
      <c r="J37" s="6" t="inlineStr">
        <is>
          <t>bs_call_log INSERT</t>
        </is>
      </c>
      <c r="K37" s="6" t="inlineStr">
        <is>
          <t>BsCallLog</t>
        </is>
      </c>
      <c r="L37" s="6" t="inlineStr">
        <is>
          <t>-</t>
        </is>
      </c>
      <c r="M37" s="6" t="inlineStr">
        <is>
          <t>-</t>
        </is>
      </c>
      <c r="N37" s="10" t="inlineStr">
        <is>
          <t>미구현</t>
        </is>
      </c>
      <c r="O37" s="6" t="inlineStr">
        <is>
          <t>-</t>
        </is>
      </c>
      <c r="P37" s="6" t="inlineStr">
        <is>
          <t>저장 실패 시 보조저장 정책 필요(7.4)</t>
        </is>
      </c>
    </row>
    <row r="38">
      <c r="A38" s="2" t="inlineStr">
        <is>
          <t>F-1-1</t>
        </is>
      </c>
      <c r="B38" s="3" t="inlineStr">
        <is>
          <t>F. 업무 처리</t>
        </is>
      </c>
      <c r="C38" s="3" t="inlineStr">
        <is>
          <t>(14) Business Service Handler 실행</t>
        </is>
      </c>
      <c r="D38" s="3" t="inlineStr">
        <is>
          <t>Handler Registry 구축</t>
        </is>
      </c>
      <c r="E38" s="2" t="inlineStr">
        <is>
          <t>BSL-F-14</t>
        </is>
      </c>
      <c r="F38" s="3" t="inlineStr">
        <is>
          <t>8.4-4단계</t>
        </is>
      </c>
      <c r="G38" s="3" t="inlineStr">
        <is>
          <t>기동 시 1회</t>
        </is>
      </c>
      <c r="H38" s="3" t="inlineStr">
        <is>
          <t>core/dispatcher/DefaultBusinessServiceDispatcher.java</t>
        </is>
      </c>
      <c r="I38" s="3" t="inlineStr">
        <is>
          <t>initRegistry() @PostConstruct</t>
        </is>
      </c>
      <c r="J38" s="3" t="inlineStr">
        <is>
          <t>BusinessServiceHandler Bean 전수 수집 및 serviceId 매핑</t>
        </is>
      </c>
      <c r="K38" s="3" t="inlineStr">
        <is>
          <t>Spring Container Bean 목록</t>
        </is>
      </c>
      <c r="L38" s="3" t="inlineStr">
        <is>
          <t>Registry(Map), [BSL-REGISTRY] 로그</t>
        </is>
      </c>
      <c r="M38" s="3" t="inlineStr">
        <is>
          <t>-</t>
        </is>
      </c>
      <c r="N38" s="4" t="inlineStr">
        <is>
          <t>완료</t>
        </is>
      </c>
      <c r="O38" s="3" t="inlineStr">
        <is>
          <t>TC-14-1</t>
        </is>
      </c>
      <c r="P38" s="3" t="inlineStr">
        <is>
          <t>serviceId 중복 시 기동 실패</t>
        </is>
      </c>
    </row>
    <row r="39">
      <c r="A39" s="5" t="inlineStr">
        <is>
          <t>F-1-2</t>
        </is>
      </c>
      <c r="B39" s="6" t="inlineStr">
        <is>
          <t>F. 업무 처리</t>
        </is>
      </c>
      <c r="C39" s="6" t="inlineStr">
        <is>
          <t>(14) Business Service Handler 실행</t>
        </is>
      </c>
      <c r="D39" s="6" t="inlineStr">
        <is>
          <t>serviceId → Bean 조회</t>
        </is>
      </c>
      <c r="E39" s="5" t="inlineStr">
        <is>
          <t>BSL-F-14</t>
        </is>
      </c>
      <c r="F39" s="6" t="inlineStr">
        <is>
          <t>4.2 Dispatcher</t>
        </is>
      </c>
      <c r="G39" s="6" t="inlineStr">
        <is>
          <t>-</t>
        </is>
      </c>
      <c r="H39" s="6" t="inlineStr">
        <is>
          <t>core/dispatcher/DefaultBusinessServiceDispatcher.java</t>
        </is>
      </c>
      <c r="I39" s="6" t="inlineStr">
        <is>
          <t>dispatch(context, payload)  Executor:118</t>
        </is>
      </c>
      <c r="J39" s="6" t="inlineStr">
        <is>
          <t>요청 serviceId 에 해당하는 구현 Bean 반환</t>
        </is>
      </c>
      <c r="K39" s="6" t="inlineStr">
        <is>
          <t>ServiceContext.serviceId</t>
        </is>
      </c>
      <c r="L39" s="6" t="inlineStr">
        <is>
          <t>BusinessServiceHandler</t>
        </is>
      </c>
      <c r="M39" s="7" t="inlineStr">
        <is>
          <t>BS-SVC-404</t>
        </is>
      </c>
      <c r="N39" s="8" t="inlineStr">
        <is>
          <t>완료</t>
        </is>
      </c>
      <c r="O39" s="6" t="inlineStr">
        <is>
          <t>TC-14-1</t>
        </is>
      </c>
      <c r="P39" s="6" t="inlineStr">
        <is>
          <t>Catalog 有 + Bean 無 → 404</t>
        </is>
      </c>
    </row>
    <row r="40">
      <c r="A40" s="5" t="inlineStr">
        <is>
          <t>F-1-3</t>
        </is>
      </c>
      <c r="B40" s="6" t="inlineStr">
        <is>
          <t>F. 업무 처리</t>
        </is>
      </c>
      <c r="C40" s="6" t="inlineStr">
        <is>
          <t>(14) Business Service Handler 실행</t>
        </is>
      </c>
      <c r="D40" s="6" t="inlineStr">
        <is>
          <t>업무 처리 실행</t>
        </is>
      </c>
      <c r="E40" s="5" t="inlineStr">
        <is>
          <t>BSL-F-14</t>
        </is>
      </c>
      <c r="F40" s="6" t="inlineStr">
        <is>
          <t>4.4 process()</t>
        </is>
      </c>
      <c r="G40" s="6" t="inlineStr">
        <is>
          <t>-</t>
        </is>
      </c>
      <c r="H40" s="6" t="inlineStr">
        <is>
          <t>domain/{closing,journal,expense,statement,csm}/Dummy*StatusHandler.java</t>
        </is>
      </c>
      <c r="I40" s="6" t="inlineStr">
        <is>
          <t>handler.process(context, req)  Executor:130</t>
        </is>
      </c>
      <c r="J40" s="6" t="inlineStr">
        <is>
          <t>도메인 업무 처리 수행 (Adapter 호출 포함)</t>
        </is>
      </c>
      <c r="K40" s="6" t="inlineStr">
        <is>
          <t>도메인 Request DTO</t>
        </is>
      </c>
      <c r="L40" s="6" t="inlineStr">
        <is>
          <t>도메인 Response DTO</t>
        </is>
      </c>
      <c r="M40" s="6" t="inlineStr">
        <is>
          <t>-</t>
        </is>
      </c>
      <c r="N40" s="11" t="inlineStr">
        <is>
          <t>Mock</t>
        </is>
      </c>
      <c r="O40" s="6" t="inlineStr">
        <is>
          <t>TC-14-1</t>
        </is>
      </c>
      <c r="P40" s="6" t="inlineStr">
        <is>
          <t>실구현 시 Bean 명 *BusinessService 로 전환</t>
        </is>
      </c>
    </row>
    <row r="41">
      <c r="A41" s="5" t="inlineStr">
        <is>
          <t>F-1-4</t>
        </is>
      </c>
      <c r="B41" s="6" t="inlineStr">
        <is>
          <t>F. 업무 처리</t>
        </is>
      </c>
      <c r="C41" s="6" t="inlineStr">
        <is>
          <t>(14) Business Service Handler 실행</t>
        </is>
      </c>
      <c r="D41" s="6" t="inlineStr">
        <is>
          <t>결과 없음 경고 등록</t>
        </is>
      </c>
      <c r="E41" s="5" t="inlineStr">
        <is>
          <t>BSL-F-14</t>
        </is>
      </c>
      <c r="F41" s="6" t="inlineStr">
        <is>
          <t>4.5 / 9.1~9.5</t>
        </is>
      </c>
      <c r="G41" s="6" t="inlineStr">
        <is>
          <t>-</t>
        </is>
      </c>
      <c r="H41" s="6" t="inlineStr">
        <is>
          <t>core/context/ServiceContext.java</t>
        </is>
      </c>
      <c r="I41" s="6" t="inlineStr">
        <is>
          <t>addWarning(code, message)</t>
        </is>
      </c>
      <c r="J41" s="6" t="inlineStr">
        <is>
          <t>데이터 없음은 오류가 아닌 성공+빈결과+경고로 처리</t>
        </is>
      </c>
      <c r="K41" s="6" t="inlineStr">
        <is>
          <t>도메인 Response 의 목록 크기</t>
        </is>
      </c>
      <c r="L41" s="6" t="inlineStr">
        <is>
          <t>ServiceContext.warnings</t>
        </is>
      </c>
      <c r="M41" s="7" t="inlineStr">
        <is>
          <t>BS-DATA-000</t>
        </is>
      </c>
      <c r="N41" s="8" t="inlineStr">
        <is>
          <t>완료</t>
        </is>
      </c>
      <c r="O41" s="6" t="inlineStr">
        <is>
          <t>TC-15-2</t>
        </is>
      </c>
      <c r="P41" s="6" t="inlineStr">
        <is>
          <t>HTTP 200 유지</t>
        </is>
      </c>
    </row>
    <row r="42">
      <c r="A42" s="5" t="inlineStr">
        <is>
          <t>F-2-1</t>
        </is>
      </c>
      <c r="B42" s="6" t="inlineStr">
        <is>
          <t>F. 업무 처리</t>
        </is>
      </c>
      <c r="C42" s="6" t="inlineStr">
        <is>
          <t>(15) Legacy Adapter 통한 기존 Service 호출</t>
        </is>
      </c>
      <c r="D42" s="6" t="inlineStr">
        <is>
          <t>Legacy Adapter 호출</t>
        </is>
      </c>
      <c r="E42" s="5" t="inlineStr">
        <is>
          <t>BSL-F-15</t>
        </is>
      </c>
      <c r="F42" s="6" t="inlineStr">
        <is>
          <t>4.3-15 / 10.3</t>
        </is>
      </c>
      <c r="G42" s="6" t="inlineStr">
        <is>
          <t>-</t>
        </is>
      </c>
      <c r="H42" s="6" t="inlineStr">
        <is>
          <t>legacy/adapter/Dummy*StatusLegacyAdapter.java (5종)</t>
        </is>
      </c>
      <c r="I42" s="6" t="inlineStr">
        <is>
          <t>adapter.invoke(request)</t>
        </is>
      </c>
      <c r="J42" s="6" t="inlineStr">
        <is>
          <t>기존 IFRS17 Service 호출 및 DTO 변환</t>
        </is>
      </c>
      <c r="K42" s="6" t="inlineStr">
        <is>
          <t>도메인 Request DTO</t>
        </is>
      </c>
      <c r="L42" s="6" t="inlineStr">
        <is>
          <t>도메인 Response DTO</t>
        </is>
      </c>
      <c r="M42" s="7" t="inlineStr">
        <is>
          <t>BS-LEG-500</t>
        </is>
      </c>
      <c r="N42" s="11" t="inlineStr">
        <is>
          <t>Mock</t>
        </is>
      </c>
      <c r="O42" s="6" t="inlineStr">
        <is>
          <t>TC-15-1</t>
        </is>
      </c>
      <c r="P42" s="6" t="inlineStr">
        <is>
          <t>Interface: LegacyAdapter</t>
        </is>
      </c>
    </row>
    <row r="43">
      <c r="A43" s="5" t="inlineStr">
        <is>
          <t>F-2-2</t>
        </is>
      </c>
      <c r="B43" s="6" t="inlineStr">
        <is>
          <t>F. 업무 처리</t>
        </is>
      </c>
      <c r="C43" s="6" t="inlineStr">
        <is>
          <t>(15) Legacy Adapter 통한 기존 Service 호출</t>
        </is>
      </c>
      <c r="D43" s="6" t="inlineStr">
        <is>
          <t>Mock 데이터 보유 판정</t>
        </is>
      </c>
      <c r="E43" s="5" t="inlineStr">
        <is>
          <t>BSL-F-15</t>
        </is>
      </c>
      <c r="F43" s="6" t="inlineStr">
        <is>
          <t>9장 데이터 없음 규칙</t>
        </is>
      </c>
      <c r="G43" s="6" t="inlineStr">
        <is>
          <t>-</t>
        </is>
      </c>
      <c r="H43" s="6" t="inlineStr">
        <is>
          <t>legacy/adapter/MockDataPolicy.java</t>
        </is>
      </c>
      <c r="I43" s="6" t="inlineStr">
        <is>
          <t>hasData(closingYearMonth)</t>
        </is>
      </c>
      <c r="J43" s="6" t="inlineStr">
        <is>
          <t>2026-06 / 2026-05 만 데이터 보유, 그 외 빈 결과</t>
        </is>
      </c>
      <c r="K43" s="6" t="inlineStr">
        <is>
          <t>closingYearMonth</t>
        </is>
      </c>
      <c r="L43" s="6" t="inlineStr">
        <is>
          <t>boolean</t>
        </is>
      </c>
      <c r="M43" s="7" t="inlineStr">
        <is>
          <t>BS-DATA-000</t>
        </is>
      </c>
      <c r="N43" s="11" t="inlineStr">
        <is>
          <t>Mock</t>
        </is>
      </c>
      <c r="O43" s="6" t="inlineStr">
        <is>
          <t>TC-15-2</t>
        </is>
      </c>
      <c r="P43" s="6" t="inlineStr">
        <is>
          <t>실구현 시 파일 삭제</t>
        </is>
      </c>
    </row>
    <row r="44">
      <c r="A44" s="5" t="inlineStr">
        <is>
          <t>F-2-3</t>
        </is>
      </c>
      <c r="B44" s="6" t="inlineStr">
        <is>
          <t>F. 업무 처리</t>
        </is>
      </c>
      <c r="C44" s="6" t="inlineStr">
        <is>
          <t>(15) Legacy Adapter 통한 기존 Service 호출</t>
        </is>
      </c>
      <c r="D44" s="6" t="inlineStr">
        <is>
          <t>도메인 응답 데이터 생성</t>
        </is>
      </c>
      <c r="E44" s="5" t="inlineStr">
        <is>
          <t>BSL-F-15</t>
        </is>
      </c>
      <c r="F44" s="6" t="inlineStr">
        <is>
          <t>9.1~9.5 출력 규격</t>
        </is>
      </c>
      <c r="G44" s="6" t="inlineStr">
        <is>
          <t>-</t>
        </is>
      </c>
      <c r="H44" s="6" t="inlineStr">
        <is>
          <t>legacy/adapter/Dummy*StatusLegacyAdapter.java</t>
        </is>
      </c>
      <c r="I44" s="6" t="inlineStr">
        <is>
          <t>invoke() 내부</t>
        </is>
      </c>
      <c r="J44" s="6" t="inlineStr">
        <is>
          <t>서비스별 상태·건수 데이터 구성 (부록D 상태코드 적용)</t>
        </is>
      </c>
      <c r="K44" s="6" t="inlineStr">
        <is>
          <t>closingYearMonth, 선택 파라미터</t>
        </is>
      </c>
      <c r="L44" s="6" t="inlineStr">
        <is>
          <t>stages/journals/expenses/statements/portfolios</t>
        </is>
      </c>
      <c r="M44" s="6" t="inlineStr">
        <is>
          <t>-</t>
        </is>
      </c>
      <c r="N44" s="11" t="inlineStr">
        <is>
          <t>Mock</t>
        </is>
      </c>
      <c r="O44" s="6" t="inlineStr">
        <is>
          <t>TC-15-1</t>
        </is>
      </c>
      <c r="P44" s="6" t="inlineStr">
        <is>
          <t>현재 하드코딩. 실구현 시 Mapper 변환</t>
        </is>
      </c>
    </row>
    <row r="45">
      <c r="A45" s="5" t="inlineStr">
        <is>
          <t>F-2-4</t>
        </is>
      </c>
      <c r="B45" s="6" t="inlineStr">
        <is>
          <t>F. 업무 처리</t>
        </is>
      </c>
      <c r="C45" s="6" t="inlineStr">
        <is>
          <t>(15) Legacy Adapter 통한 기존 Service 호출</t>
        </is>
      </c>
      <c r="D45" s="6" t="inlineStr">
        <is>
          <t>Legacy 연계정보 반환</t>
        </is>
      </c>
      <c r="E45" s="5" t="inlineStr">
        <is>
          <t>BSL-F-15</t>
        </is>
      </c>
      <c r="F45" s="6" t="inlineStr">
        <is>
          <t>14장 No.1 미결사항</t>
        </is>
      </c>
      <c r="G45" s="6" t="inlineStr">
        <is>
          <t>-</t>
        </is>
      </c>
      <c r="H45" s="6" t="inlineStr">
        <is>
          <t>api/dto/response/LegacyBinding.java</t>
        </is>
      </c>
      <c r="I45" s="6" t="inlineStr">
        <is>
          <t>new LegacyBinding(batchProgramId, screenName)</t>
        </is>
      </c>
      <c r="J45" s="6" t="inlineStr">
        <is>
          <t>미확정 배치 프로그램 ID·화면명을 Draft 로 노출</t>
        </is>
      </c>
      <c r="K45" s="6" t="inlineStr">
        <is>
          <t>상수 TBD-*</t>
        </is>
      </c>
      <c r="L45" s="6" t="inlineStr">
        <is>
          <t>result.legacyBinding(confirmed=false)</t>
        </is>
      </c>
      <c r="M45" s="6" t="inlineStr">
        <is>
          <t>-</t>
        </is>
      </c>
      <c r="N45" s="11" t="inlineStr">
        <is>
          <t>Mock</t>
        </is>
      </c>
      <c r="O45" s="6" t="inlineStr">
        <is>
          <t>TC-15-1</t>
        </is>
      </c>
      <c r="P45" s="6" t="inlineStr">
        <is>
          <t>[Draft] 현행 매핑서(D+5) 확정 시 교체·삭제</t>
        </is>
      </c>
    </row>
    <row r="46">
      <c r="A46" s="5" t="inlineStr">
        <is>
          <t>F-2-5</t>
        </is>
      </c>
      <c r="B46" s="6" t="inlineStr">
        <is>
          <t>F. 업무 처리</t>
        </is>
      </c>
      <c r="C46" s="6" t="inlineStr">
        <is>
          <t>(15) Legacy Adapter 통한 기존 Service 호출</t>
        </is>
      </c>
      <c r="D46" s="6" t="inlineStr">
        <is>
          <t>Legacy 예외 변환</t>
        </is>
      </c>
      <c r="E46" s="5" t="inlineStr">
        <is>
          <t>BSL-F-15</t>
        </is>
      </c>
      <c r="F46" s="6" t="inlineStr">
        <is>
          <t>부록A BS-LEG-500</t>
        </is>
      </c>
      <c r="G46" s="6" t="inlineStr">
        <is>
          <t>-</t>
        </is>
      </c>
      <c r="H46" s="6" t="inlineStr">
        <is>
          <t>core/exception/LegacyServiceException.java</t>
        </is>
      </c>
      <c r="I46" s="6" t="inlineStr">
        <is>
          <t>(실구현) try-catch</t>
        </is>
      </c>
      <c r="J46" s="6" t="inlineStr">
        <is>
          <t>기존 Service 예외를 표준 오류로 변환</t>
        </is>
      </c>
      <c r="K46" s="6" t="inlineStr">
        <is>
          <t>Legacy Exception</t>
        </is>
      </c>
      <c r="L46" s="6" t="inlineStr">
        <is>
          <t>LegacyServiceException</t>
        </is>
      </c>
      <c r="M46" s="7" t="inlineStr">
        <is>
          <t>BS-LEG-500</t>
        </is>
      </c>
      <c r="N46" s="10" t="inlineStr">
        <is>
          <t>미구현</t>
        </is>
      </c>
      <c r="O46" s="6" t="inlineStr">
        <is>
          <t>TC-15-3</t>
        </is>
      </c>
      <c r="P46" s="6" t="inlineStr">
        <is>
          <t>현재 __simulate=LEGACY_ERROR 로만 재현</t>
        </is>
      </c>
    </row>
    <row r="47">
      <c r="A47" s="5" t="inlineStr">
        <is>
          <t>F-2-6</t>
        </is>
      </c>
      <c r="B47" s="6" t="inlineStr">
        <is>
          <t>F. 업무 처리</t>
        </is>
      </c>
      <c r="C47" s="6" t="inlineStr">
        <is>
          <t>(15) Legacy Adapter 통한 기존 Service 호출</t>
        </is>
      </c>
      <c r="D47" s="6" t="inlineStr">
        <is>
          <t>Timeout 처리</t>
        </is>
      </c>
      <c r="E47" s="5" t="inlineStr">
        <is>
          <t>BSL-F-15</t>
        </is>
      </c>
      <c r="F47" s="6" t="inlineStr">
        <is>
          <t>3.3 / 9장 30,000ms</t>
        </is>
      </c>
      <c r="G47" s="6" t="inlineStr">
        <is>
          <t>-</t>
        </is>
      </c>
      <c r="H47" s="6" t="inlineStr">
        <is>
          <t>core/exception/ServiceTimeoutException.java</t>
        </is>
      </c>
      <c r="I47" s="6" t="inlineStr">
        <is>
          <t>(실구현) metadata.timeoutMs 적용</t>
        </is>
      </c>
      <c r="J47" s="6" t="inlineStr">
        <is>
          <t>서비스별 Timeout 초과 시 중단 및 감사</t>
        </is>
      </c>
      <c r="K47" s="6" t="inlineStr">
        <is>
          <t>timeoutMs</t>
        </is>
      </c>
      <c r="L47" s="6" t="inlineStr">
        <is>
          <t>ServiceTimeoutException</t>
        </is>
      </c>
      <c r="M47" s="7" t="inlineStr">
        <is>
          <t>BS-SYS-504</t>
        </is>
      </c>
      <c r="N47" s="10" t="inlineStr">
        <is>
          <t>미구현</t>
        </is>
      </c>
      <c r="O47" s="6" t="inlineStr">
        <is>
          <t>TC-15-4</t>
        </is>
      </c>
      <c r="P47" s="6" t="inlineStr">
        <is>
          <t>현재 __simulate=TIMEOUT 로만 재현</t>
        </is>
      </c>
    </row>
    <row r="48">
      <c r="A48" s="5" t="inlineStr">
        <is>
          <t>F-3-1</t>
        </is>
      </c>
      <c r="B48" s="6" t="inlineStr">
        <is>
          <t>F. 업무 처리</t>
        </is>
      </c>
      <c r="C48" s="6" t="inlineStr">
        <is>
          <t>(16) 결과 DTO 표준 JSON 변환 및 마스킹</t>
        </is>
      </c>
      <c r="D48" s="6" t="inlineStr">
        <is>
          <t>마스킹 정책 적용</t>
        </is>
      </c>
      <c r="E48" s="5" t="inlineStr">
        <is>
          <t>BSL-F-16</t>
        </is>
      </c>
      <c r="F48" s="6" t="inlineStr">
        <is>
          <t>4.3-16 / 6.4</t>
        </is>
      </c>
      <c r="G48" s="6" t="inlineStr">
        <is>
          <t>-</t>
        </is>
      </c>
      <c r="H48" s="6" t="inlineStr">
        <is>
          <t>core/security/DefaultMaskingPolicy.java</t>
        </is>
      </c>
      <c r="I48" s="6" t="inlineStr">
        <is>
          <t>mask(result, policy)  Executor:133</t>
        </is>
      </c>
      <c r="J48" s="6" t="inlineStr">
        <is>
          <t>민감정보 마스킹 (현재 pass-through)</t>
        </is>
      </c>
      <c r="K48" s="6" t="inlineStr">
        <is>
          <t>도메인 Response, sensitivePolicy</t>
        </is>
      </c>
      <c r="L48" s="6" t="inlineStr">
        <is>
          <t>마스킹된 Response</t>
        </is>
      </c>
      <c r="M48" s="6" t="inlineStr">
        <is>
          <t>-</t>
        </is>
      </c>
      <c r="N48" s="11" t="inlineStr">
        <is>
          <t>Mock</t>
        </is>
      </c>
      <c r="O48" s="6" t="inlineStr">
        <is>
          <t>TC-16-1</t>
        </is>
      </c>
      <c r="P48" s="6" t="inlineStr">
        <is>
          <t>Interface: MaskingPolicy</t>
        </is>
      </c>
    </row>
    <row r="49">
      <c r="A49" s="5" t="inlineStr">
        <is>
          <t>F-3-2</t>
        </is>
      </c>
      <c r="B49" s="6" t="inlineStr">
        <is>
          <t>F. 업무 처리</t>
        </is>
      </c>
      <c r="C49" s="6" t="inlineStr">
        <is>
          <t>(16) 결과 DTO 표준 JSON 변환 및 마스킹</t>
        </is>
      </c>
      <c r="D49" s="6" t="inlineStr">
        <is>
          <t>JSON 직렬화 규칙 적용</t>
        </is>
      </c>
      <c r="E49" s="5" t="inlineStr">
        <is>
          <t>BSL-F-16</t>
        </is>
      </c>
      <c r="F49" s="6" t="inlineStr">
        <is>
          <t>5.4 표준 Response</t>
        </is>
      </c>
      <c r="G49" s="6" t="inlineStr">
        <is>
          <t>-</t>
        </is>
      </c>
      <c r="H49" s="6" t="inlineStr">
        <is>
          <t>src/main/resources/application.yml</t>
        </is>
      </c>
      <c r="I49" s="6" t="inlineStr">
        <is>
          <t>spring.jackson.*</t>
        </is>
      </c>
      <c r="J49" s="6" t="inlineStr">
        <is>
          <t>날짜 ISO-8601, TimeZone Asia/Seoul, NON_NULL 제외</t>
        </is>
      </c>
      <c r="K49" s="6" t="inlineStr">
        <is>
          <t>도메인 Response 객체</t>
        </is>
      </c>
      <c r="L49" s="6" t="inlineStr">
        <is>
          <t>JSON 문자열</t>
        </is>
      </c>
      <c r="M49" s="6" t="inlineStr">
        <is>
          <t>-</t>
        </is>
      </c>
      <c r="N49" s="8" t="inlineStr">
        <is>
          <t>완료</t>
        </is>
      </c>
      <c r="O49" s="6" t="inlineStr">
        <is>
          <t>TC-18-2</t>
        </is>
      </c>
      <c r="P49" s="6" t="inlineStr">
        <is>
          <t>기존 프로젝트 병합 시 설정 이관 필요</t>
        </is>
      </c>
    </row>
    <row r="50">
      <c r="A50" s="2" t="inlineStr">
        <is>
          <t>G-1-1</t>
        </is>
      </c>
      <c r="B50" s="3" t="inlineStr">
        <is>
          <t>G. 감사 종료·응답</t>
        </is>
      </c>
      <c r="C50" s="3" t="inlineStr">
        <is>
          <t>(17) 감사 성공/실패 로그 기록</t>
        </is>
      </c>
      <c r="D50" s="3" t="inlineStr">
        <is>
          <t>성공 로그 기록</t>
        </is>
      </c>
      <c r="E50" s="2" t="inlineStr">
        <is>
          <t>BSL-F-17</t>
        </is>
      </c>
      <c r="F50" s="3" t="inlineStr">
        <is>
          <t>4.3-17 / 6.3</t>
        </is>
      </c>
      <c r="G50" s="3" t="inlineStr">
        <is>
          <t>-</t>
        </is>
      </c>
      <c r="H50" s="3" t="inlineStr">
        <is>
          <t>core/audit/ConsoleAuditLogger.java</t>
        </is>
      </c>
      <c r="I50" s="3" t="inlineStr">
        <is>
          <t>success(record, elapsedMs, resultCount)  Executor:138</t>
        </is>
      </c>
      <c r="J50" s="3" t="inlineStr">
        <is>
          <t>status/httpStatus/elapsedMs/resultCount 기록</t>
        </is>
      </c>
      <c r="K50" s="3" t="inlineStr">
        <is>
          <t>AuditRecord, 처리결과</t>
        </is>
      </c>
      <c r="L50" s="3" t="inlineStr">
        <is>
          <t>[BSL-AUDIT-SUCCESS] 로그</t>
        </is>
      </c>
      <c r="M50" s="3" t="inlineStr">
        <is>
          <t>-</t>
        </is>
      </c>
      <c r="N50" s="9" t="inlineStr">
        <is>
          <t>Mock</t>
        </is>
      </c>
      <c r="O50" s="3" t="inlineStr">
        <is>
          <t>TC-17-1</t>
        </is>
      </c>
      <c r="P50" s="3" t="inlineStr"/>
    </row>
    <row r="51">
      <c r="A51" s="5" t="inlineStr">
        <is>
          <t>G-1-2</t>
        </is>
      </c>
      <c r="B51" s="6" t="inlineStr">
        <is>
          <t>G. 감사 종료·응답</t>
        </is>
      </c>
      <c r="C51" s="6" t="inlineStr">
        <is>
          <t>(17) 감사 성공/실패 로그 기록</t>
        </is>
      </c>
      <c r="D51" s="6" t="inlineStr">
        <is>
          <t>실패 로그 기록</t>
        </is>
      </c>
      <c r="E51" s="5" t="inlineStr">
        <is>
          <t>BSL-F-17</t>
        </is>
      </c>
      <c r="F51" s="6" t="inlineStr">
        <is>
          <t>4.5 / 6.3</t>
        </is>
      </c>
      <c r="G51" s="6" t="inlineStr">
        <is>
          <t>-</t>
        </is>
      </c>
      <c r="H51" s="6" t="inlineStr">
        <is>
          <t>core/audit/ConsoleAuditLogger.java</t>
        </is>
      </c>
      <c r="I51" s="6" t="inlineStr">
        <is>
          <t>fail(record, elapsedMs, httpStatus, code, errorId, msg)  Executor:174</t>
        </is>
      </c>
      <c r="J51" s="6" t="inlineStr">
        <is>
          <t>오류코드·Error ID 포함 실패 감사</t>
        </is>
      </c>
      <c r="K51" s="6" t="inlineStr">
        <is>
          <t>AuditRecord, ErrorCode, errorId</t>
        </is>
      </c>
      <c r="L51" s="6" t="inlineStr">
        <is>
          <t>[BSL-AUDIT-FAIL] 로그</t>
        </is>
      </c>
      <c r="M51" s="6" t="inlineStr">
        <is>
          <t>-</t>
        </is>
      </c>
      <c r="N51" s="11" t="inlineStr">
        <is>
          <t>Mock</t>
        </is>
      </c>
      <c r="O51" s="6" t="inlineStr">
        <is>
          <t>TC-17-1</t>
        </is>
      </c>
      <c r="P51" s="6" t="inlineStr"/>
    </row>
    <row r="52">
      <c r="A52" s="5" t="inlineStr">
        <is>
          <t>G-1-3</t>
        </is>
      </c>
      <c r="B52" s="6" t="inlineStr">
        <is>
          <t>G. 감사 종료·응답</t>
        </is>
      </c>
      <c r="C52" s="6" t="inlineStr">
        <is>
          <t>(17) 감사 성공/실패 로그 기록</t>
        </is>
      </c>
      <c r="D52" s="6" t="inlineStr">
        <is>
          <t>감사 누락 보정</t>
        </is>
      </c>
      <c r="E52" s="5" t="inlineStr">
        <is>
          <t>BSL-F-17</t>
        </is>
      </c>
      <c r="F52" s="6" t="inlineStr">
        <is>
          <t>11.2 감사추적</t>
        </is>
      </c>
      <c r="G52" s="6" t="inlineStr">
        <is>
          <t>-</t>
        </is>
      </c>
      <c r="H52" s="6" t="inlineStr">
        <is>
          <t>core/executor/DefaultBusinessServiceExecutor.java</t>
        </is>
      </c>
      <c r="I52" s="6" t="inlineStr">
        <is>
          <t>handleFailure()  :171</t>
        </is>
      </c>
      <c r="J52" s="6" t="inlineStr">
        <is>
          <t>감사 시작 이전 예외 발생 시 start 를 선행 호출</t>
        </is>
      </c>
      <c r="K52" s="6" t="inlineStr">
        <is>
          <t>ServiceContext</t>
        </is>
      </c>
      <c r="L52" s="6" t="inlineStr">
        <is>
          <t>AuditRecord</t>
        </is>
      </c>
      <c r="M52" s="6" t="inlineStr">
        <is>
          <t>-</t>
        </is>
      </c>
      <c r="N52" s="8" t="inlineStr">
        <is>
          <t>완료</t>
        </is>
      </c>
      <c r="O52" s="6" t="inlineStr">
        <is>
          <t>TC-08-1</t>
        </is>
      </c>
      <c r="P52" s="6" t="inlineStr">
        <is>
          <t>인증 실패 시에도 감사 누락 없음</t>
        </is>
      </c>
    </row>
    <row r="53">
      <c r="A53" s="5" t="inlineStr">
        <is>
          <t>G-1-4</t>
        </is>
      </c>
      <c r="B53" s="6" t="inlineStr">
        <is>
          <t>G. 감사 종료·응답</t>
        </is>
      </c>
      <c r="C53" s="6" t="inlineStr">
        <is>
          <t>(17) 감사 성공/실패 로그 기록</t>
        </is>
      </c>
      <c r="D53" s="6" t="inlineStr">
        <is>
          <t>결과 건수 산출</t>
        </is>
      </c>
      <c r="E53" s="5" t="inlineStr">
        <is>
          <t>BSL-F-17</t>
        </is>
      </c>
      <c r="F53" s="6" t="inlineStr">
        <is>
          <t>6.3 result_count</t>
        </is>
      </c>
      <c r="G53" s="6" t="inlineStr">
        <is>
          <t>-</t>
        </is>
      </c>
      <c r="H53" s="6" t="inlineStr">
        <is>
          <t>core/executor/DefaultBusinessServiceExecutor.java</t>
        </is>
      </c>
      <c r="I53" s="6" t="inlineStr">
        <is>
          <t>resultCountOf(masked)</t>
        </is>
      </c>
      <c r="J53" s="6" t="inlineStr">
        <is>
          <t>StatusServiceResponse.resultCount 추출</t>
        </is>
      </c>
      <c r="K53" s="6" t="inlineStr">
        <is>
          <t>마스킹된 결과 객체</t>
        </is>
      </c>
      <c r="L53" s="6" t="inlineStr">
        <is>
          <t>Integer resultCount</t>
        </is>
      </c>
      <c r="M53" s="6" t="inlineStr">
        <is>
          <t>-</t>
        </is>
      </c>
      <c r="N53" s="8" t="inlineStr">
        <is>
          <t>완료</t>
        </is>
      </c>
      <c r="O53" s="6" t="inlineStr">
        <is>
          <t>TC-17-1</t>
        </is>
      </c>
      <c r="P53" s="6" t="inlineStr"/>
    </row>
    <row r="54">
      <c r="A54" s="5" t="inlineStr">
        <is>
          <t>G-2-1</t>
        </is>
      </c>
      <c r="B54" s="6" t="inlineStr">
        <is>
          <t>G. 감사 종료·응답</t>
        </is>
      </c>
      <c r="C54" s="6" t="inlineStr">
        <is>
          <t>(18) 표준 Response 반환</t>
        </is>
      </c>
      <c r="D54" s="6" t="inlineStr">
        <is>
          <t>성공 Envelope 생성</t>
        </is>
      </c>
      <c r="E54" s="5" t="inlineStr">
        <is>
          <t>BSL-F-18</t>
        </is>
      </c>
      <c r="F54" s="6" t="inlineStr">
        <is>
          <t>4.3-18 / 5.4</t>
        </is>
      </c>
      <c r="G54" s="6" t="inlineStr">
        <is>
          <t>-</t>
        </is>
      </c>
      <c r="H54" s="6" t="inlineStr">
        <is>
          <t>core/response/DefaultStandardResponseBuilder.java</t>
        </is>
      </c>
      <c r="I54" s="6" t="inlineStr">
        <is>
          <t>success(context, metadata, result, elapsedMs)  Executor:141</t>
        </is>
      </c>
      <c r="J54" s="6" t="inlineStr">
        <is>
          <t>표준 Success Response 11개 필드 조립</t>
        </is>
      </c>
      <c r="K54" s="6" t="inlineStr">
        <is>
          <t>ServiceContext, ServiceMetadata, result</t>
        </is>
      </c>
      <c r="L54" s="6" t="inlineStr">
        <is>
          <t>StandardResponse(SUCCESS)</t>
        </is>
      </c>
      <c r="M54" s="6" t="inlineStr">
        <is>
          <t>-</t>
        </is>
      </c>
      <c r="N54" s="8" t="inlineStr">
        <is>
          <t>완료</t>
        </is>
      </c>
      <c r="O54" s="6" t="inlineStr">
        <is>
          <t>TC-18-2</t>
        </is>
      </c>
      <c r="P54" s="6" t="inlineStr">
        <is>
          <t>Interface: StandardResponseBuilder</t>
        </is>
      </c>
    </row>
    <row r="55">
      <c r="A55" s="5" t="inlineStr">
        <is>
          <t>G-2-2</t>
        </is>
      </c>
      <c r="B55" s="6" t="inlineStr">
        <is>
          <t>G. 감사 종료·응답</t>
        </is>
      </c>
      <c r="C55" s="6" t="inlineStr">
        <is>
          <t>(18) 표준 Response 반환</t>
        </is>
      </c>
      <c r="D55" s="6" t="inlineStr">
        <is>
          <t>오류 Envelope 생성</t>
        </is>
      </c>
      <c r="E55" s="5" t="inlineStr">
        <is>
          <t>BSL-F-18</t>
        </is>
      </c>
      <c r="F55" s="6" t="inlineStr">
        <is>
          <t>5.5 표준 Error Response</t>
        </is>
      </c>
      <c r="G55" s="6" t="inlineStr">
        <is>
          <t>-</t>
        </is>
      </c>
      <c r="H55" s="6" t="inlineStr">
        <is>
          <t>core/response/DefaultStandardResponseBuilder.java</t>
        </is>
      </c>
      <c r="I55" s="6" t="inlineStr">
        <is>
          <t>error(context, errorCode, message, errorId, details, elapsedMs)  Executor:181</t>
        </is>
      </c>
      <c r="J55" s="6" t="inlineStr">
        <is>
          <t>code/message/errorId/details 조립</t>
        </is>
      </c>
      <c r="K55" s="6" t="inlineStr">
        <is>
          <t>ErrorCode, 예외 메시지</t>
        </is>
      </c>
      <c r="L55" s="6" t="inlineStr">
        <is>
          <t>StandardResponse(ERROR)</t>
        </is>
      </c>
      <c r="M55" s="6" t="inlineStr">
        <is>
          <t>-</t>
        </is>
      </c>
      <c r="N55" s="8" t="inlineStr">
        <is>
          <t>완료</t>
        </is>
      </c>
      <c r="O55" s="6" t="inlineStr">
        <is>
          <t>TC-12-1</t>
        </is>
      </c>
      <c r="P55" s="6" t="inlineStr"/>
    </row>
    <row r="56">
      <c r="A56" s="5" t="inlineStr">
        <is>
          <t>G-2-3</t>
        </is>
      </c>
      <c r="B56" s="6" t="inlineStr">
        <is>
          <t>G. 감사 종료·응답</t>
        </is>
      </c>
      <c r="C56" s="6" t="inlineStr">
        <is>
          <t>(18) 표준 Response 반환</t>
        </is>
      </c>
      <c r="D56" s="6" t="inlineStr">
        <is>
          <t>Error ID 채번</t>
        </is>
      </c>
      <c r="E56" s="5" t="inlineStr">
        <is>
          <t>BSL-F-18</t>
        </is>
      </c>
      <c r="F56" s="6" t="inlineStr">
        <is>
          <t>5.5 / 6.4</t>
        </is>
      </c>
      <c r="G56" s="6" t="inlineStr">
        <is>
          <t>-</t>
        </is>
      </c>
      <c r="H56" s="6" t="inlineStr">
        <is>
          <t>core/context/IdGenerator.java</t>
        </is>
      </c>
      <c r="I56" s="6" t="inlineStr">
        <is>
          <t>newErrorId()  Executor:159</t>
        </is>
      </c>
      <c r="J56" s="6" t="inlineStr">
        <is>
          <t>ERR-yyyyMMdd-00001 채번 및 서버로그 대조 키 제공</t>
        </is>
      </c>
      <c r="K56" s="6" t="inlineStr">
        <is>
          <t>-</t>
        </is>
      </c>
      <c r="L56" s="6" t="inlineStr">
        <is>
          <t>error.errorId</t>
        </is>
      </c>
      <c r="M56" s="6" t="inlineStr">
        <is>
          <t>-</t>
        </is>
      </c>
      <c r="N56" s="8" t="inlineStr">
        <is>
          <t>완료</t>
        </is>
      </c>
      <c r="O56" s="6" t="inlineStr">
        <is>
          <t>TC-15-3</t>
        </is>
      </c>
      <c r="P56" s="6" t="inlineStr"/>
    </row>
    <row r="57">
      <c r="A57" s="5" t="inlineStr">
        <is>
          <t>G-2-4</t>
        </is>
      </c>
      <c r="B57" s="6" t="inlineStr">
        <is>
          <t>G. 감사 종료·응답</t>
        </is>
      </c>
      <c r="C57" s="6" t="inlineStr">
        <is>
          <t>(18) 표준 Response 반환</t>
        </is>
      </c>
      <c r="D57" s="6" t="inlineStr">
        <is>
          <t>HTTP Status 결정</t>
        </is>
      </c>
      <c r="E57" s="5" t="inlineStr">
        <is>
          <t>BSL-F-18</t>
        </is>
      </c>
      <c r="F57" s="6" t="inlineStr">
        <is>
          <t>4.5 예외 처리 기준</t>
        </is>
      </c>
      <c r="G57" s="6" t="inlineStr">
        <is>
          <t>-</t>
        </is>
      </c>
      <c r="H57" s="6" t="inlineStr">
        <is>
          <t>core/exception/ErrorCode.java</t>
        </is>
      </c>
      <c r="I57" s="6" t="inlineStr">
        <is>
          <t>httpStatus()</t>
        </is>
      </c>
      <c r="J57" s="6" t="inlineStr">
        <is>
          <t>오류코드별 HTTP 상태코드 매핑</t>
        </is>
      </c>
      <c r="K57" s="6" t="inlineStr">
        <is>
          <t>ErrorCode</t>
        </is>
      </c>
      <c r="L57" s="6" t="inlineStr">
        <is>
          <t>HTTP Status</t>
        </is>
      </c>
      <c r="M57" s="6" t="inlineStr">
        <is>
          <t>-</t>
        </is>
      </c>
      <c r="N57" s="8" t="inlineStr">
        <is>
          <t>완료</t>
        </is>
      </c>
      <c r="O57" s="6" t="inlineStr">
        <is>
          <t>TC-10-1</t>
        </is>
      </c>
      <c r="P57" s="6" t="inlineStr">
        <is>
          <t>부록A 11종 정의 완료</t>
        </is>
      </c>
    </row>
    <row r="58">
      <c r="A58" s="5" t="inlineStr">
        <is>
          <t>G-2-5</t>
        </is>
      </c>
      <c r="B58" s="6" t="inlineStr">
        <is>
          <t>G. 감사 종료·응답</t>
        </is>
      </c>
      <c r="C58" s="6" t="inlineStr">
        <is>
          <t>(18) 표준 Response 반환</t>
        </is>
      </c>
      <c r="D58" s="6" t="inlineStr">
        <is>
          <t>내부 오류 상세 은닉</t>
        </is>
      </c>
      <c r="E58" s="5" t="inlineStr">
        <is>
          <t>BSL-F-18</t>
        </is>
      </c>
      <c r="F58" s="6" t="inlineStr">
        <is>
          <t>6.4 / 4.5</t>
        </is>
      </c>
      <c r="G58" s="6" t="inlineStr">
        <is>
          <t>-</t>
        </is>
      </c>
      <c r="H58" s="6" t="inlineStr">
        <is>
          <t>core/executor/DefaultBusinessServiceExecutor.java</t>
        </is>
      </c>
      <c r="I58" s="6" t="inlineStr">
        <is>
          <t>:148 catch(Exception), :177</t>
        </is>
      </c>
      <c r="J58" s="6" t="inlineStr">
        <is>
          <t>미분류 예외의 상세를 숨기고 Error ID 만 노출</t>
        </is>
      </c>
      <c r="K58" s="6" t="inlineStr">
        <is>
          <t>Exception</t>
        </is>
      </c>
      <c r="L58" s="6" t="inlineStr">
        <is>
          <t>StandardResponse(BS-SYS-500)</t>
        </is>
      </c>
      <c r="M58" s="7" t="inlineStr">
        <is>
          <t>BS-SYS-500</t>
        </is>
      </c>
      <c r="N58" s="8" t="inlineStr">
        <is>
          <t>완료</t>
        </is>
      </c>
      <c r="O58" s="6" t="inlineStr">
        <is>
          <t>TC-18-1</t>
        </is>
      </c>
      <c r="P58" s="6" t="inlineStr">
        <is>
          <t>Stack Trace 는 서버 로그에만 출력</t>
        </is>
      </c>
    </row>
    <row r="59">
      <c r="A59" s="5" t="inlineStr">
        <is>
          <t>G-2-6</t>
        </is>
      </c>
      <c r="B59" s="6" t="inlineStr">
        <is>
          <t>G. 감사 종료·응답</t>
        </is>
      </c>
      <c r="C59" s="6" t="inlineStr">
        <is>
          <t>(18) 표준 Response 반환</t>
        </is>
      </c>
      <c r="D59" s="6" t="inlineStr">
        <is>
          <t>경고 목록 반영</t>
        </is>
      </c>
      <c r="E59" s="5" t="inlineStr">
        <is>
          <t>BSL-F-18</t>
        </is>
      </c>
      <c r="F59" s="6" t="inlineStr">
        <is>
          <t>5.4 warnings</t>
        </is>
      </c>
      <c r="G59" s="6" t="inlineStr">
        <is>
          <t>-</t>
        </is>
      </c>
      <c r="H59" s="6" t="inlineStr">
        <is>
          <t>core/response/DefaultStandardResponseBuilder.java</t>
        </is>
      </c>
      <c r="I59" s="6" t="inlineStr">
        <is>
          <t>context.getWarnings() → response.warnings</t>
        </is>
      </c>
      <c r="J59" s="6" t="inlineStr">
        <is>
          <t>BS-DATA-000 등 경고를 성공 응답에 포함</t>
        </is>
      </c>
      <c r="K59" s="6" t="inlineStr">
        <is>
          <t>ServiceContext.warnings</t>
        </is>
      </c>
      <c r="L59" s="6" t="inlineStr">
        <is>
          <t>warnings[]</t>
        </is>
      </c>
      <c r="M59" s="7" t="inlineStr">
        <is>
          <t>BS-DATA-000</t>
        </is>
      </c>
      <c r="N59" s="8" t="inlineStr">
        <is>
          <t>완료</t>
        </is>
      </c>
      <c r="O59" s="6" t="inlineStr">
        <is>
          <t>TC-15-2</t>
        </is>
      </c>
      <c r="P59" s="6" t="inlineStr"/>
    </row>
    <row r="60">
      <c r="A60" s="2" t="inlineStr">
        <is>
          <t>H-1-1</t>
        </is>
      </c>
      <c r="B60" s="3" t="inlineStr">
        <is>
          <t>H. 부가 API</t>
        </is>
      </c>
      <c r="C60" s="3" t="inlineStr">
        <is>
          <t>Catalog 조회</t>
        </is>
      </c>
      <c r="D60" s="3" t="inlineStr">
        <is>
          <t>서비스 목록 조회</t>
        </is>
      </c>
      <c r="E60" s="2" t="inlineStr">
        <is>
          <t>BSL-A-01</t>
        </is>
      </c>
      <c r="F60" s="3" t="inlineStr">
        <is>
          <t>5.1 URI 규칙</t>
        </is>
      </c>
      <c r="G60" s="3" t="inlineStr">
        <is>
          <t>GET /api/business-services/v1/catalog</t>
        </is>
      </c>
      <c r="H60" s="3" t="inlineStr">
        <is>
          <t>api/controller/BusinessServiceController.java</t>
        </is>
      </c>
      <c r="I60" s="3" t="inlineStr">
        <is>
          <t>catalog()  :71</t>
        </is>
      </c>
      <c r="J60" s="3" t="inlineStr">
        <is>
          <t>등록 서비스 전체 목록 반환</t>
        </is>
      </c>
      <c r="K60" s="3" t="inlineStr">
        <is>
          <t>-</t>
        </is>
      </c>
      <c r="L60" s="3" t="inlineStr">
        <is>
          <t>totalCount, services[]</t>
        </is>
      </c>
      <c r="M60" s="3" t="inlineStr">
        <is>
          <t>-</t>
        </is>
      </c>
      <c r="N60" s="9" t="inlineStr">
        <is>
          <t>Mock</t>
        </is>
      </c>
      <c r="O60" s="3" t="inlineStr">
        <is>
          <t>TC-A-01</t>
        </is>
      </c>
      <c r="P60" s="3" t="inlineStr">
        <is>
          <t>현재 In-Memory 6건</t>
        </is>
      </c>
    </row>
    <row r="61">
      <c r="A61" s="5" t="inlineStr">
        <is>
          <t>H-1-2</t>
        </is>
      </c>
      <c r="B61" s="6" t="inlineStr">
        <is>
          <t>H. 부가 API</t>
        </is>
      </c>
      <c r="C61" s="6" t="inlineStr">
        <is>
          <t>Catalog 조회</t>
        </is>
      </c>
      <c r="D61" s="6" t="inlineStr">
        <is>
          <t>서비스 단건 조회</t>
        </is>
      </c>
      <c r="E61" s="5" t="inlineStr">
        <is>
          <t>BSL-A-02</t>
        </is>
      </c>
      <c r="F61" s="6" t="inlineStr">
        <is>
          <t>5.1 URI 규칙</t>
        </is>
      </c>
      <c r="G61" s="6" t="inlineStr">
        <is>
          <t>GET /api/business-services/v1/catalog/{serviceId}</t>
        </is>
      </c>
      <c r="H61" s="6" t="inlineStr">
        <is>
          <t>api/controller/BusinessServiceController.java</t>
        </is>
      </c>
      <c r="I61" s="6" t="inlineStr">
        <is>
          <t>catalogDetail()  :81</t>
        </is>
      </c>
      <c r="J61" s="6" t="inlineStr">
        <is>
          <t>서비스 메타데이터 상세 반환</t>
        </is>
      </c>
      <c r="K61" s="6" t="inlineStr">
        <is>
          <t>serviceId</t>
        </is>
      </c>
      <c r="L61" s="6" t="inlineStr">
        <is>
          <t>ServiceMetadata</t>
        </is>
      </c>
      <c r="M61" s="7" t="inlineStr">
        <is>
          <t>BS-SVC-404</t>
        </is>
      </c>
      <c r="N61" s="11" t="inlineStr">
        <is>
          <t>Mock</t>
        </is>
      </c>
      <c r="O61" s="6" t="inlineStr">
        <is>
          <t>TC-A-02 / TC-A-03</t>
        </is>
      </c>
      <c r="P61" s="6" t="inlineStr"/>
    </row>
    <row r="62">
      <c r="A62" s="5" t="inlineStr">
        <is>
          <t>H-2-1</t>
        </is>
      </c>
      <c r="B62" s="6" t="inlineStr">
        <is>
          <t>H. 부가 API</t>
        </is>
      </c>
      <c r="C62" s="6" t="inlineStr">
        <is>
          <t>호출 이력 조회</t>
        </is>
      </c>
      <c r="D62" s="6" t="inlineStr">
        <is>
          <t>Request ID 기준 이력 조회</t>
        </is>
      </c>
      <c r="E62" s="5" t="inlineStr">
        <is>
          <t>BSL-A-03</t>
        </is>
      </c>
      <c r="F62" s="6" t="inlineStr">
        <is>
          <t>5.1 / 12.3</t>
        </is>
      </c>
      <c r="G62" s="6" t="inlineStr">
        <is>
          <t>GET /api/business-services/v1/calls/{requestId}</t>
        </is>
      </c>
      <c r="H62" s="6" t="inlineStr">
        <is>
          <t>api/controller/BusinessServiceController.java</t>
        </is>
      </c>
      <c r="I62" s="6" t="inlineStr">
        <is>
          <t>callLog()  :100</t>
        </is>
      </c>
      <c r="J62" s="6" t="inlineStr">
        <is>
          <t>감사로그 조회 (현재 콘솔 안내만 반환)</t>
        </is>
      </c>
      <c r="K62" s="6" t="inlineStr">
        <is>
          <t>requestId</t>
        </is>
      </c>
      <c r="L62" s="6" t="inlineStr">
        <is>
          <t>안내 메시지</t>
        </is>
      </c>
      <c r="M62" s="6" t="inlineStr">
        <is>
          <t>-</t>
        </is>
      </c>
      <c r="N62" s="10" t="inlineStr">
        <is>
          <t>미구현</t>
        </is>
      </c>
      <c r="O62" s="6" t="inlineStr">
        <is>
          <t>TC-A-04</t>
        </is>
      </c>
      <c r="P62" s="6" t="inlineStr">
        <is>
          <t>[Draft] 계약만 제공. DB 연동 시 구현</t>
        </is>
      </c>
    </row>
    <row r="63">
      <c r="A63" s="5" t="inlineStr">
        <is>
          <t>H-3-1</t>
        </is>
      </c>
      <c r="B63" s="6" t="inlineStr">
        <is>
          <t>H. 부가 API</t>
        </is>
      </c>
      <c r="C63" s="6" t="inlineStr">
        <is>
          <t>Console — 서비스 명세 관리(CON-01)</t>
        </is>
      </c>
      <c r="D63" s="6" t="inlineStr">
        <is>
          <t>명세 목록 조회</t>
        </is>
      </c>
      <c r="E63" s="5" t="inlineStr">
        <is>
          <t>BSL-A-04</t>
        </is>
      </c>
      <c r="F63" s="6" t="inlineStr">
        <is>
          <t>8.2 / 8.3</t>
        </is>
      </c>
      <c r="G63" s="6" t="inlineStr">
        <is>
          <t>GET /api/business-service-console/v1/services</t>
        </is>
      </c>
      <c r="H63" s="6" t="inlineStr">
        <is>
          <t>console/ServiceSpecificationConsoleController.java</t>
        </is>
      </c>
      <c r="I63" s="6" t="inlineStr">
        <is>
          <t>list()  :67</t>
        </is>
      </c>
      <c r="J63" s="6" t="inlineStr">
        <is>
          <t>운영자용 서비스 명세 목록</t>
        </is>
      </c>
      <c r="K63" s="6" t="inlineStr">
        <is>
          <t>-</t>
        </is>
      </c>
      <c r="L63" s="6" t="inlineStr">
        <is>
          <t>totalCount, services[]</t>
        </is>
      </c>
      <c r="M63" s="6" t="inlineStr">
        <is>
          <t>-</t>
        </is>
      </c>
      <c r="N63" s="11" t="inlineStr">
        <is>
          <t>Mock</t>
        </is>
      </c>
      <c r="O63" s="6" t="inlineStr">
        <is>
          <t>TC-A-05</t>
        </is>
      </c>
      <c r="P63" s="6" t="inlineStr">
        <is>
          <t>화면(UI)은 범위 외. URI 미확정(Draft)</t>
        </is>
      </c>
    </row>
    <row r="64">
      <c r="A64" s="5" t="inlineStr">
        <is>
          <t>H-3-2</t>
        </is>
      </c>
      <c r="B64" s="6" t="inlineStr">
        <is>
          <t>H. 부가 API</t>
        </is>
      </c>
      <c r="C64" s="6" t="inlineStr">
        <is>
          <t>Console — 서비스 명세 관리(CON-01)</t>
        </is>
      </c>
      <c r="D64" s="6" t="inlineStr">
        <is>
          <t>명세 등록·수정</t>
        </is>
      </c>
      <c r="E64" s="5" t="inlineStr">
        <is>
          <t>BSL-A-05</t>
        </is>
      </c>
      <c r="F64" s="6" t="inlineStr">
        <is>
          <t>8.3 / 8.4-3·4단계</t>
        </is>
      </c>
      <c r="G64" s="6" t="inlineStr">
        <is>
          <t>POST /api/business-service-console/v1/services</t>
        </is>
      </c>
      <c r="H64" s="6" t="inlineStr">
        <is>
          <t>console/ServiceSpecificationConsoleController.java</t>
        </is>
      </c>
      <c r="I64" s="6" t="inlineStr">
        <is>
          <t>save(form)  :93</t>
        </is>
      </c>
      <c r="J64" s="6" t="inlineStr">
        <is>
          <t>명세 저장 (Bean 존재·Interface 구현·Service ID 일치 자동 검증)</t>
        </is>
      </c>
      <c r="K64" s="6" t="inlineStr">
        <is>
          <t>ServiceSpecificationForm</t>
        </is>
      </c>
      <c r="L64" s="6" t="inlineStr">
        <is>
          <t>saved, mode, beanValidation</t>
        </is>
      </c>
      <c r="M64" s="7" t="inlineStr">
        <is>
          <t>BS-VAL-001</t>
        </is>
      </c>
      <c r="N64" s="11" t="inlineStr">
        <is>
          <t>Mock</t>
        </is>
      </c>
      <c r="O64" s="6" t="inlineStr">
        <is>
          <t>TC-A-06</t>
        </is>
      </c>
      <c r="P64" s="6" t="inlineStr">
        <is>
          <t>설계서 8.7 CON-ACC-01</t>
        </is>
      </c>
    </row>
    <row r="65">
      <c r="A65" s="5" t="inlineStr">
        <is>
          <t>H-3-3</t>
        </is>
      </c>
      <c r="B65" s="6" t="inlineStr">
        <is>
          <t>H. 부가 API</t>
        </is>
      </c>
      <c r="C65" s="6" t="inlineStr">
        <is>
          <t>Console — 서비스 명세 관리(CON-01)</t>
        </is>
      </c>
      <c r="D65" s="6" t="inlineStr">
        <is>
          <t>Bean 자동 검증</t>
        </is>
      </c>
      <c r="E65" s="5" t="inlineStr">
        <is>
          <t>BSL-A-06</t>
        </is>
      </c>
      <c r="F65" s="6" t="inlineStr">
        <is>
          <t>8.1 / 8.4-4단계</t>
        </is>
      </c>
      <c r="G65" s="6" t="inlineStr">
        <is>
          <t>-</t>
        </is>
      </c>
      <c r="H65" s="6" t="inlineStr">
        <is>
          <t>console/ServiceSpecificationValidator.java</t>
        </is>
      </c>
      <c r="I65" s="6" t="inlineStr">
        <is>
          <t>validate(form) / validateBean(form)</t>
        </is>
      </c>
      <c r="J65" s="6" t="inlineStr">
        <is>
          <t>ApplicationContext 로 Bean 존재·타입·ID 일치 확인</t>
        </is>
      </c>
      <c r="K65" s="6" t="inlineStr">
        <is>
          <t>implementationBean, serviceId</t>
        </is>
      </c>
      <c r="L65" s="6" t="inlineStr">
        <is>
          <t>통과 또는 ValidationException</t>
        </is>
      </c>
      <c r="M65" s="7" t="inlineStr">
        <is>
          <t>BS-VAL-001</t>
        </is>
      </c>
      <c r="N65" s="8" t="inlineStr">
        <is>
          <t>완료</t>
        </is>
      </c>
      <c r="O65" s="6" t="inlineStr">
        <is>
          <t>TC-A-06</t>
        </is>
      </c>
      <c r="P65" s="6" t="inlineStr"/>
    </row>
    <row r="66">
      <c r="A66" s="5" t="inlineStr">
        <is>
          <t>H-3-4</t>
        </is>
      </c>
      <c r="B66" s="6" t="inlineStr">
        <is>
          <t>H. 부가 API</t>
        </is>
      </c>
      <c r="C66" s="6" t="inlineStr">
        <is>
          <t>Console — 서비스 명세 관리(CON-01)</t>
        </is>
      </c>
      <c r="D66" s="6" t="inlineStr">
        <is>
          <t>사용/미사용 전환</t>
        </is>
      </c>
      <c r="E66" s="5" t="inlineStr">
        <is>
          <t>BSL-A-07</t>
        </is>
      </c>
      <c r="F66" s="6" t="inlineStr">
        <is>
          <t>8.4-6·7단계 / 8.7</t>
        </is>
      </c>
      <c r="G66" s="6" t="inlineStr">
        <is>
          <t>PATCH /api/business-service-console/v1/services/{serviceId}/active?use=</t>
        </is>
      </c>
      <c r="H66" s="6" t="inlineStr">
        <is>
          <t>console/ServiceSpecificationConsoleController.java</t>
        </is>
      </c>
      <c r="I66" s="6" t="inlineStr">
        <is>
          <t>changeActive()  :119</t>
        </is>
      </c>
      <c r="J66" s="6" t="inlineStr">
        <is>
          <t>미사용 전환 시 공통 Endpoint 즉시 차단</t>
        </is>
      </c>
      <c r="K66" s="6" t="inlineStr">
        <is>
          <t>serviceId, use</t>
        </is>
      </c>
      <c r="L66" s="6" t="inlineStr">
        <is>
          <t>active, message</t>
        </is>
      </c>
      <c r="M66" s="7" t="inlineStr">
        <is>
          <t>BS-SVC-404</t>
        </is>
      </c>
      <c r="N66" s="11" t="inlineStr">
        <is>
          <t>Mock</t>
        </is>
      </c>
      <c r="O66" s="6" t="inlineStr">
        <is>
          <t>TC-A-07</t>
        </is>
      </c>
      <c r="P66" s="6" t="inlineStr">
        <is>
          <t>설계서 8.7 CON-ACC-02·03</t>
        </is>
      </c>
    </row>
    <row r="67">
      <c r="A67" s="5" t="inlineStr">
        <is>
          <t>H-4-1</t>
        </is>
      </c>
      <c r="B67" s="6" t="inlineStr">
        <is>
          <t>H. 부가 API</t>
        </is>
      </c>
      <c r="C67" s="6" t="inlineStr">
        <is>
          <t>Console — 서비스 Test(CON-02)</t>
        </is>
      </c>
      <c r="D67" s="6" t="inlineStr">
        <is>
          <t>서비스 Test 실행</t>
        </is>
      </c>
      <c r="E67" s="5" t="inlineStr">
        <is>
          <t>BSL-A-08</t>
        </is>
      </c>
      <c r="F67" s="6" t="inlineStr">
        <is>
          <t>8.2 / 8.6</t>
        </is>
      </c>
      <c r="G67" s="6" t="inlineStr">
        <is>
          <t>POST /api/business-service-console/v1/services/{serviceId}/test</t>
        </is>
      </c>
      <c r="H67" s="6" t="inlineStr">
        <is>
          <t>console/ServiceTestConsoleController.java</t>
        </is>
      </c>
      <c r="I67" s="6" t="inlineStr">
        <is>
          <t>test()  :42</t>
        </is>
      </c>
      <c r="J67" s="6" t="inlineStr">
        <is>
          <t>운영 호출과 동일한 Executor 경로로 위임 (감사로그 동일 기록)</t>
        </is>
      </c>
      <c r="K67" s="6" t="inlineStr">
        <is>
          <t>StandardRequest</t>
        </is>
      </c>
      <c r="L67" s="6" t="inlineStr">
        <is>
          <t>StandardResponse</t>
        </is>
      </c>
      <c r="M67" s="7" t="inlineStr">
        <is>
          <t>전 오류코드</t>
        </is>
      </c>
      <c r="N67" s="11" t="inlineStr">
        <is>
          <t>Mock</t>
        </is>
      </c>
      <c r="O67" s="6" t="inlineStr">
        <is>
          <t>TC-A-08</t>
        </is>
      </c>
      <c r="P67" s="6" t="inlineStr">
        <is>
          <t>설계서 8.6 필수 요건</t>
        </is>
      </c>
    </row>
    <row r="68">
      <c r="A68" s="2" t="inlineStr">
        <is>
          <t>I-1-1</t>
        </is>
      </c>
      <c r="B68" s="3" t="inlineStr">
        <is>
          <t>I. 공통 예외 처리</t>
        </is>
      </c>
      <c r="C68" s="3" t="inlineStr">
        <is>
          <t>표준 오류 정의</t>
        </is>
      </c>
      <c r="D68" s="3" t="inlineStr">
        <is>
          <t>오류코드 Enum 정의</t>
        </is>
      </c>
      <c r="E68" s="2" t="inlineStr">
        <is>
          <t>-</t>
        </is>
      </c>
      <c r="F68" s="3" t="inlineStr">
        <is>
          <t>부록A 표준 오류코드</t>
        </is>
      </c>
      <c r="G68" s="3" t="inlineStr">
        <is>
          <t>-</t>
        </is>
      </c>
      <c r="H68" s="3" t="inlineStr">
        <is>
          <t>core/exception/ErrorCode.java</t>
        </is>
      </c>
      <c r="I68" s="3" t="inlineStr">
        <is>
          <t>code(), httpStatus(), defaultMessage()</t>
        </is>
      </c>
      <c r="J68" s="3" t="inlineStr">
        <is>
          <t>부록A 11종 오류코드·HTTP·기본메시지 정의</t>
        </is>
      </c>
      <c r="K68" s="3" t="inlineStr">
        <is>
          <t>-</t>
        </is>
      </c>
      <c r="L68" s="3" t="inlineStr">
        <is>
          <t>ErrorCode</t>
        </is>
      </c>
      <c r="M68" s="7" t="inlineStr">
        <is>
          <t>전 11종</t>
        </is>
      </c>
      <c r="N68" s="4" t="inlineStr">
        <is>
          <t>완료</t>
        </is>
      </c>
      <c r="O68" s="3" t="inlineStr">
        <is>
          <t>-</t>
        </is>
      </c>
      <c r="P68" s="3" t="inlineStr">
        <is>
          <t>BS-VAL-002 / BS-SYS-503 은 발생지점 없음</t>
        </is>
      </c>
    </row>
    <row r="69">
      <c r="A69" s="5" t="inlineStr">
        <is>
          <t>I-1-2</t>
        </is>
      </c>
      <c r="B69" s="6" t="inlineStr">
        <is>
          <t>I. 공통 예외 처리</t>
        </is>
      </c>
      <c r="C69" s="6" t="inlineStr">
        <is>
          <t>표준 오류 정의</t>
        </is>
      </c>
      <c r="D69" s="6" t="inlineStr">
        <is>
          <t>표준 예외 클래스 정의</t>
        </is>
      </c>
      <c r="E69" s="5" t="inlineStr">
        <is>
          <t>-</t>
        </is>
      </c>
      <c r="F69" s="6" t="inlineStr">
        <is>
          <t>4.5 예외 처리 기준</t>
        </is>
      </c>
      <c r="G69" s="6" t="inlineStr">
        <is>
          <t>-</t>
        </is>
      </c>
      <c r="H69" s="6" t="inlineStr">
        <is>
          <t>core/exception/*.java (8종)</t>
        </is>
      </c>
      <c r="I69" s="6" t="inlineStr">
        <is>
          <t>BusinessServiceException 외 7종</t>
        </is>
      </c>
      <c r="J69" s="6" t="inlineStr">
        <is>
          <t>예외 유형별 클래스 및 필드 오류(details) 보유</t>
        </is>
      </c>
      <c r="K69" s="6" t="inlineStr">
        <is>
          <t>-</t>
        </is>
      </c>
      <c r="L69" s="6" t="inlineStr">
        <is>
          <t>BusinessServiceException</t>
        </is>
      </c>
      <c r="M69" s="6" t="inlineStr">
        <is>
          <t>-</t>
        </is>
      </c>
      <c r="N69" s="8" t="inlineStr">
        <is>
          <t>완료</t>
        </is>
      </c>
      <c r="O69" s="6" t="inlineStr">
        <is>
          <t>-</t>
        </is>
      </c>
      <c r="P69" s="6" t="inlineStr">
        <is>
          <t>Validation/Auth/Authorization/NotFound/Timeout/Legacy/System</t>
        </is>
      </c>
    </row>
    <row r="70">
      <c r="A70" s="5" t="inlineStr">
        <is>
          <t>I-2-1</t>
        </is>
      </c>
      <c r="B70" s="6" t="inlineStr">
        <is>
          <t>I. 공통 예외 처리</t>
        </is>
      </c>
      <c r="C70" s="6" t="inlineStr">
        <is>
          <t>예외 → 표준 응답 변환</t>
        </is>
      </c>
      <c r="D70" s="6" t="inlineStr">
        <is>
          <t>Executor 예외 변환</t>
        </is>
      </c>
      <c r="E70" s="5" t="inlineStr">
        <is>
          <t>-</t>
        </is>
      </c>
      <c r="F70" s="6" t="inlineStr">
        <is>
          <t>10.4 Executor 의사코드</t>
        </is>
      </c>
      <c r="G70" s="6" t="inlineStr">
        <is>
          <t>-</t>
        </is>
      </c>
      <c r="H70" s="6" t="inlineStr">
        <is>
          <t>core/executor/DefaultBusinessServiceExecutor.java</t>
        </is>
      </c>
      <c r="I70" s="6" t="inlineStr">
        <is>
          <t>handleFailure()  :144, :148</t>
        </is>
      </c>
      <c r="J70" s="6" t="inlineStr">
        <is>
          <t>표준 예외/미분류 예외를 표준 Error Response 로 변환</t>
        </is>
      </c>
      <c r="K70" s="6" t="inlineStr">
        <is>
          <t>Exception</t>
        </is>
      </c>
      <c r="L70" s="6" t="inlineStr">
        <is>
          <t>ResponseEntity(error)</t>
        </is>
      </c>
      <c r="M70" s="7" t="inlineStr">
        <is>
          <t>전 오류코드</t>
        </is>
      </c>
      <c r="N70" s="8" t="inlineStr">
        <is>
          <t>완료</t>
        </is>
      </c>
      <c r="O70" s="6" t="inlineStr">
        <is>
          <t>TC-18-1</t>
        </is>
      </c>
      <c r="P70" s="6" t="inlineStr"/>
    </row>
    <row r="71">
      <c r="A71" s="5" t="inlineStr">
        <is>
          <t>I-2-2</t>
        </is>
      </c>
      <c r="B71" s="6" t="inlineStr">
        <is>
          <t>I. 공통 예외 처리</t>
        </is>
      </c>
      <c r="C71" s="6" t="inlineStr">
        <is>
          <t>예외 → 표준 응답 변환</t>
        </is>
      </c>
      <c r="D71" s="6" t="inlineStr">
        <is>
          <t>Framework 예외 변환</t>
        </is>
      </c>
      <c r="E71" s="5" t="inlineStr">
        <is>
          <t>-</t>
        </is>
      </c>
      <c r="F71" s="6" t="inlineStr">
        <is>
          <t>5.5 표준 Error Response</t>
        </is>
      </c>
      <c r="G71" s="6" t="inlineStr">
        <is>
          <t>-</t>
        </is>
      </c>
      <c r="H71" s="6" t="inlineStr">
        <is>
          <t>api/controller/BusinessServiceExceptionHandler.java</t>
        </is>
      </c>
      <c r="I71" s="6" t="inlineStr">
        <is>
          <t>@RestControllerAdvice 3종</t>
        </is>
      </c>
      <c r="J71" s="6" t="inlineStr">
        <is>
          <t>Executor 진입 이전 오류도 동일 규격으로 변환</t>
        </is>
      </c>
      <c r="K71" s="6" t="inlineStr">
        <is>
          <t>Framework Exception</t>
        </is>
      </c>
      <c r="L71" s="6" t="inlineStr">
        <is>
          <t>StandardResponse(error)</t>
        </is>
      </c>
      <c r="M71" s="7" t="inlineStr">
        <is>
          <t>BS-VAL-001 / BS-SVC-404 / BS-SYS-500</t>
        </is>
      </c>
      <c r="N71" s="8" t="inlineStr">
        <is>
          <t>완료</t>
        </is>
      </c>
      <c r="O71" s="6" t="inlineStr">
        <is>
          <t>TC-06-2</t>
        </is>
      </c>
      <c r="P71" s="6" t="inlineStr"/>
    </row>
  </sheetData>
  <autoFilter ref="A1:P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30" customWidth="1" min="4" max="4"/>
    <col width="60" customWidth="1" min="5" max="5"/>
    <col width="42" customWidth="1" min="6" max="6"/>
    <col width="30" customWidth="1" min="7" max="7"/>
    <col width="12" customWidth="1" min="8" max="8"/>
  </cols>
  <sheetData>
    <row r="1" ht="34" customHeight="1">
      <c r="A1" s="1" t="inlineStr">
        <is>
          <t>오류코드</t>
        </is>
      </c>
      <c r="B1" s="1" t="inlineStr">
        <is>
          <t>HTTP</t>
        </is>
      </c>
      <c r="C1" s="1" t="inlineStr">
        <is>
          <t>의미(부록A)</t>
        </is>
      </c>
      <c r="D1" s="1" t="inlineStr">
        <is>
          <t>발생 기능ID</t>
        </is>
      </c>
      <c r="E1" s="1" t="inlineStr">
        <is>
          <t>발생 클래스 · 라인</t>
        </is>
      </c>
      <c r="F1" s="1" t="inlineStr">
        <is>
          <t>발생 조건 / 비고</t>
        </is>
      </c>
      <c r="G1" s="1" t="inlineStr">
        <is>
          <t>테스트 ID</t>
        </is>
      </c>
      <c r="H1" s="1" t="inlineStr">
        <is>
          <t>구현 상태</t>
        </is>
      </c>
    </row>
    <row r="2">
      <c r="A2" s="12" t="inlineStr">
        <is>
          <t>BS-VAL-001</t>
        </is>
      </c>
      <c r="B2" s="13" t="n">
        <v>400</v>
      </c>
      <c r="C2" s="6" t="inlineStr">
        <is>
          <t>필수값 누락 또는 형식 오류</t>
        </is>
      </c>
      <c r="D2" s="6" t="inlineStr">
        <is>
          <t>BSL-F-06, BSL-F-12, BSL-A-05</t>
        </is>
      </c>
      <c r="E2" s="6" t="inlineStr">
        <is>
          <t>BusinessServiceExceptionHandler:44 / ValidationException:11 (ValidationUtils · ParameterBinder · StandardRequestValidator · ServiceSpecificationValidator)</t>
        </is>
      </c>
      <c r="F2" s="6" t="inlineStr">
        <is>
          <t>details[] 에 field·message 포함</t>
        </is>
      </c>
      <c r="G2" s="6" t="inlineStr">
        <is>
          <t>TC-06-2, TC-12-1, TC-12-2, TC-A-06</t>
        </is>
      </c>
      <c r="H2" s="13" t="inlineStr">
        <is>
          <t>발생</t>
        </is>
      </c>
    </row>
    <row r="3">
      <c r="A3" s="12" t="inlineStr">
        <is>
          <t>BS-VAL-002</t>
        </is>
      </c>
      <c r="B3" s="13" t="n">
        <v>400</v>
      </c>
      <c r="C3" s="6" t="inlineStr">
        <is>
          <t>허용범위 초과</t>
        </is>
      </c>
      <c r="D3" s="6" t="inlineStr">
        <is>
          <t>BSL-F-12</t>
        </is>
      </c>
      <c r="E3" s="6" t="inlineStr">
        <is>
          <t>(발생 지점 없음)</t>
        </is>
      </c>
      <c r="F3" s="6" t="inlineStr">
        <is>
          <t>ValidationUtils.maxLength() 가 BS-VAL-001 로 반환 중</t>
        </is>
      </c>
      <c r="G3" s="6" t="inlineStr">
        <is>
          <t>-</t>
        </is>
      </c>
      <c r="H3" s="10" t="inlineStr">
        <is>
          <t>미구현</t>
        </is>
      </c>
    </row>
    <row r="4">
      <c r="A4" s="12" t="inlineStr">
        <is>
          <t>BS-AUTH-001</t>
        </is>
      </c>
      <c r="B4" s="13" t="n">
        <v>401</v>
      </c>
      <c r="C4" s="6" t="inlineStr">
        <is>
          <t>인증 실패</t>
        </is>
      </c>
      <c r="D4" s="6" t="inlineStr">
        <is>
          <t>BSL-F-08, BSL-F-09</t>
        </is>
      </c>
      <c r="E4" s="6" t="inlineStr">
        <is>
          <t>DummyClientAuthenticationService → AuthenticationException:11</t>
        </is>
      </c>
      <c r="F4" s="6" t="inlineStr">
        <is>
          <t>X-Client-ID 누락 시</t>
        </is>
      </c>
      <c r="G4" s="6" t="inlineStr">
        <is>
          <t>TC-08-1</t>
        </is>
      </c>
      <c r="H4" s="13" t="inlineStr">
        <is>
          <t>발생</t>
        </is>
      </c>
    </row>
    <row r="5">
      <c r="A5" s="12" t="inlineStr">
        <is>
          <t>BS-AUTH-002</t>
        </is>
      </c>
      <c r="B5" s="13" t="n">
        <v>401</v>
      </c>
      <c r="C5" s="6" t="inlineStr">
        <is>
          <t>Token 만료</t>
        </is>
      </c>
      <c r="D5" s="6" t="inlineStr">
        <is>
          <t>BSL-F-08</t>
        </is>
      </c>
      <c r="E5" s="6" t="inlineStr">
        <is>
          <t>SkeletonFailureSimulator:47</t>
        </is>
      </c>
      <c r="F5" s="6" t="inlineStr">
        <is>
          <t>__simulate=UNAUTHORIZED 로만 재현</t>
        </is>
      </c>
      <c r="G5" s="6" t="inlineStr">
        <is>
          <t>TC-08-2</t>
        </is>
      </c>
      <c r="H5" s="13" t="inlineStr">
        <is>
          <t>시뮬레이션</t>
        </is>
      </c>
    </row>
    <row r="6">
      <c r="A6" s="12" t="inlineStr">
        <is>
          <t>BS-AUTH-003</t>
        </is>
      </c>
      <c r="B6" s="13" t="n">
        <v>403</v>
      </c>
      <c r="C6" s="6" t="inlineStr">
        <is>
          <t>서비스 권한 없음</t>
        </is>
      </c>
      <c r="D6" s="6" t="inlineStr">
        <is>
          <t>BSL-F-11</t>
        </is>
      </c>
      <c r="E6" s="6" t="inlineStr">
        <is>
          <t>AuthorizationException:11 ← SkeletonFailureSimulator</t>
        </is>
      </c>
      <c r="F6" s="6" t="inlineStr">
        <is>
          <t>__simulate=FORBIDDEN 로만 재현</t>
        </is>
      </c>
      <c r="G6" s="6" t="inlineStr">
        <is>
          <t>TC-11-1</t>
        </is>
      </c>
      <c r="H6" s="13" t="inlineStr">
        <is>
          <t>시뮬레이션</t>
        </is>
      </c>
    </row>
    <row r="7">
      <c r="A7" s="12" t="inlineStr">
        <is>
          <t>BS-SVC-404</t>
        </is>
      </c>
      <c r="B7" s="13" t="n">
        <v>404</v>
      </c>
      <c r="C7" s="6" t="inlineStr">
        <is>
          <t>서비스/버전 없음 또는 비활성</t>
        </is>
      </c>
      <c r="D7" s="6" t="inlineStr">
        <is>
          <t>BSL-F-06, BSL-F-10, BSL-F-14, BSL-A-02, BSL-A-07</t>
        </is>
      </c>
      <c r="E7" s="6" t="inlineStr">
        <is>
          <t>Executor:104 / DefaultBusinessServiceDispatcher / BusinessServiceExceptionHandler:50 / ServiceSpecificationConsoleController:81,124</t>
        </is>
      </c>
      <c r="F7" s="6" t="inlineStr">
        <is>
          <t>미등록·비활성·버전불일치·Bean미배포·미정의URI</t>
        </is>
      </c>
      <c r="G7" s="6" t="inlineStr">
        <is>
          <t>TC-10-1, TC-10-2, TC-10-3, TC-06-3</t>
        </is>
      </c>
      <c r="H7" s="13" t="inlineStr">
        <is>
          <t>발생</t>
        </is>
      </c>
    </row>
    <row r="8">
      <c r="A8" s="12" t="inlineStr">
        <is>
          <t>BS-DATA-000</t>
        </is>
      </c>
      <c r="B8" s="13" t="n">
        <v>200</v>
      </c>
      <c r="C8" s="6" t="inlineStr">
        <is>
          <t>정상이나 결과 없음</t>
        </is>
      </c>
      <c r="D8" s="6" t="inlineStr">
        <is>
          <t>BSL-F-14, BSL-F-15, BSL-F-18</t>
        </is>
      </c>
      <c r="E8" s="6" t="inlineStr">
        <is>
          <t>MockDataPolicy.NO_DATA_CODE → ServiceContext.addWarning()</t>
        </is>
      </c>
      <c r="F8" s="6" t="inlineStr">
        <is>
          <t>예외가 아닌 warnings[] 로 반환</t>
        </is>
      </c>
      <c r="G8" s="6" t="inlineStr">
        <is>
          <t>TC-15-2</t>
        </is>
      </c>
      <c r="H8" s="13" t="inlineStr">
        <is>
          <t>발생</t>
        </is>
      </c>
    </row>
    <row r="9">
      <c r="A9" s="12" t="inlineStr">
        <is>
          <t>BS-LEG-500</t>
        </is>
      </c>
      <c r="B9" s="13" t="n">
        <v>500</v>
      </c>
      <c r="C9" s="6" t="inlineStr">
        <is>
          <t>Legacy Service 처리 오류</t>
        </is>
      </c>
      <c r="D9" s="6" t="inlineStr">
        <is>
          <t>BSL-F-15</t>
        </is>
      </c>
      <c r="E9" s="6" t="inlineStr">
        <is>
          <t>LegacyServiceException:11 ← SkeletonFailureSimulator</t>
        </is>
      </c>
      <c r="F9" s="6" t="inlineStr">
        <is>
          <t>__simulate=LEGACY_ERROR 로만 재현</t>
        </is>
      </c>
      <c r="G9" s="6" t="inlineStr">
        <is>
          <t>TC-15-3</t>
        </is>
      </c>
      <c r="H9" s="13" t="inlineStr">
        <is>
          <t>시뮬레이션</t>
        </is>
      </c>
    </row>
    <row r="10">
      <c r="A10" s="12" t="inlineStr">
        <is>
          <t>BS-SYS-500</t>
        </is>
      </c>
      <c r="B10" s="13" t="n">
        <v>500</v>
      </c>
      <c r="C10" s="6" t="inlineStr">
        <is>
          <t>내부 시스템 오류</t>
        </is>
      </c>
      <c r="D10" s="6" t="inlineStr">
        <is>
          <t>BSL-F-18</t>
        </is>
      </c>
      <c r="E10" s="6" t="inlineStr">
        <is>
          <t>Executor:150 catch(Exception) / BusinessServiceExceptionHandler:57</t>
        </is>
      </c>
      <c r="F10" s="6" t="inlineStr">
        <is>
          <t>외부에 상세 은닉, errorId 만 노출</t>
        </is>
      </c>
      <c r="G10" s="6" t="inlineStr">
        <is>
          <t>TC-18-1</t>
        </is>
      </c>
      <c r="H10" s="13" t="inlineStr">
        <is>
          <t>발생</t>
        </is>
      </c>
    </row>
    <row r="11">
      <c r="A11" s="12" t="inlineStr">
        <is>
          <t>BS-SYS-503</t>
        </is>
      </c>
      <c r="B11" s="13" t="n">
        <v>503</v>
      </c>
      <c r="C11" s="6" t="inlineStr">
        <is>
          <t>일시적 사용불가</t>
        </is>
      </c>
      <c r="D11" s="6" t="inlineStr">
        <is>
          <t>-</t>
        </is>
      </c>
      <c r="E11" s="6" t="inlineStr">
        <is>
          <t>(발생 지점 없음)</t>
        </is>
      </c>
      <c r="F11" s="6" t="inlineStr">
        <is>
          <t>Circuit Breaker / 점검모드 도입 시 적용</t>
        </is>
      </c>
      <c r="G11" s="6" t="inlineStr">
        <is>
          <t>-</t>
        </is>
      </c>
      <c r="H11" s="10" t="inlineStr">
        <is>
          <t>미구현</t>
        </is>
      </c>
    </row>
    <row r="12">
      <c r="A12" s="12" t="inlineStr">
        <is>
          <t>BS-SYS-504</t>
        </is>
      </c>
      <c r="B12" s="13" t="n">
        <v>504</v>
      </c>
      <c r="C12" s="6" t="inlineStr">
        <is>
          <t>Timeout</t>
        </is>
      </c>
      <c r="D12" s="6" t="inlineStr">
        <is>
          <t>BSL-F-15</t>
        </is>
      </c>
      <c r="E12" s="6" t="inlineStr">
        <is>
          <t>ServiceTimeoutException:11 ← SkeletonFailureSimulator</t>
        </is>
      </c>
      <c r="F12" s="6" t="inlineStr">
        <is>
          <t>__simulate=TIMEOUT 로만 재현</t>
        </is>
      </c>
      <c r="G12" s="6" t="inlineStr">
        <is>
          <t>TC-15-4</t>
        </is>
      </c>
      <c r="H12" s="13" t="inlineStr">
        <is>
          <t>시뮬레이션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0" customWidth="1" min="4" max="4"/>
    <col width="42" customWidth="1" min="5" max="5"/>
    <col width="52" customWidth="1" min="6" max="6"/>
    <col width="12" customWidth="1" min="7" max="7"/>
    <col width="16" customWidth="1" min="8" max="8"/>
    <col width="34" customWidth="1" min="9" max="9"/>
    <col width="12" customWidth="1" min="10" max="10"/>
    <col width="10" customWidth="1" min="11" max="11"/>
    <col width="12" customWidth="1" min="12" max="12"/>
    <col width="20" customWidth="1" min="13" max="13"/>
  </cols>
  <sheetData>
    <row r="1" ht="34" customHeight="1">
      <c r="A1" s="1" t="inlineStr">
        <is>
          <t>TC ID</t>
        </is>
      </c>
      <c r="B1" s="1" t="inlineStr">
        <is>
          <t>대상 기능ID</t>
        </is>
      </c>
      <c r="C1" s="1" t="inlineStr">
        <is>
          <t>시나리오</t>
        </is>
      </c>
      <c r="D1" s="1" t="inlineStr">
        <is>
          <t>Method</t>
        </is>
      </c>
      <c r="E1" s="1" t="inlineStr">
        <is>
          <t>URI / 대상</t>
        </is>
      </c>
      <c r="F1" s="1" t="inlineStr">
        <is>
          <t>요청 parameters</t>
        </is>
      </c>
      <c r="G1" s="1" t="inlineStr">
        <is>
          <t>기대 HTTP</t>
        </is>
      </c>
      <c r="H1" s="1" t="inlineStr">
        <is>
          <t>기대 오류코드</t>
        </is>
      </c>
      <c r="I1" s="1" t="inlineStr">
        <is>
          <t>판정 기준</t>
        </is>
      </c>
      <c r="J1" s="1" t="inlineStr">
        <is>
          <t>수행일자</t>
        </is>
      </c>
      <c r="K1" s="1" t="inlineStr">
        <is>
          <t>수행자</t>
        </is>
      </c>
      <c r="L1" s="1" t="inlineStr">
        <is>
          <t>결과(P/F)</t>
        </is>
      </c>
      <c r="M1" s="1" t="inlineStr">
        <is>
          <t>비고</t>
        </is>
      </c>
    </row>
    <row r="2">
      <c r="A2" s="12" t="inlineStr">
        <is>
          <t>TC-06-1</t>
        </is>
      </c>
      <c r="B2" s="6" t="inlineStr">
        <is>
          <t>BSL-F-06</t>
        </is>
      </c>
      <c r="C2" s="6" t="inlineStr">
        <is>
          <t>정상 호출</t>
        </is>
      </c>
      <c r="D2" s="13" t="inlineStr">
        <is>
          <t>POST</t>
        </is>
      </c>
      <c r="E2" s="6" t="inlineStr">
        <is>
          <t>IFRS17.CLOSING.STATUS:execute</t>
        </is>
      </c>
      <c r="F2" s="6" t="inlineStr">
        <is>
          <t>{"closingYearMonth":"2026-06"}</t>
        </is>
      </c>
      <c r="G2" s="13" t="n">
        <v>200</v>
      </c>
      <c r="H2" s="6" t="inlineStr">
        <is>
          <t>-</t>
        </is>
      </c>
      <c r="I2" s="6" t="inlineStr">
        <is>
          <t>status=SUCCESS</t>
        </is>
      </c>
      <c r="J2" s="14" t="inlineStr"/>
      <c r="K2" s="14" t="inlineStr"/>
      <c r="L2" s="15" t="inlineStr"/>
      <c r="M2" s="14" t="inlineStr"/>
    </row>
    <row r="3">
      <c r="A3" s="12" t="inlineStr">
        <is>
          <t>TC-06-2</t>
        </is>
      </c>
      <c r="B3" s="6" t="inlineStr">
        <is>
          <t>BSL-F-06</t>
        </is>
      </c>
      <c r="C3" s="6" t="inlineStr">
        <is>
          <t>JSON 문법 오류</t>
        </is>
      </c>
      <c r="D3" s="13" t="inlineStr">
        <is>
          <t>POST</t>
        </is>
      </c>
      <c r="E3" s="6" t="inlineStr">
        <is>
          <t>IFRS17.CLOSING.STATUS:execute</t>
        </is>
      </c>
      <c r="F3" s="6" t="inlineStr">
        <is>
          <t>{closingYearMonth:</t>
        </is>
      </c>
      <c r="G3" s="13" t="n">
        <v>400</v>
      </c>
      <c r="H3" s="6" t="inlineStr">
        <is>
          <t>BS-VAL-001</t>
        </is>
      </c>
      <c r="I3" s="6" t="inlineStr">
        <is>
          <t>error.code 확인</t>
        </is>
      </c>
      <c r="J3" s="14" t="inlineStr"/>
      <c r="K3" s="14" t="inlineStr"/>
      <c r="L3" s="15" t="inlineStr"/>
      <c r="M3" s="14" t="inlineStr"/>
    </row>
    <row r="4">
      <c r="A4" s="12" t="inlineStr">
        <is>
          <t>TC-06-3</t>
        </is>
      </c>
      <c r="B4" s="6" t="inlineStr">
        <is>
          <t>BSL-F-06</t>
        </is>
      </c>
      <c r="C4" s="6" t="inlineStr">
        <is>
          <t>미정의 URI</t>
        </is>
      </c>
      <c r="D4" s="13" t="inlineStr">
        <is>
          <t>GET</t>
        </is>
      </c>
      <c r="E4" s="6" t="inlineStr">
        <is>
          <t>/api/business-services/v1/unknown</t>
        </is>
      </c>
      <c r="F4" s="6" t="inlineStr">
        <is>
          <t>-</t>
        </is>
      </c>
      <c r="G4" s="13" t="n">
        <v>404</v>
      </c>
      <c r="H4" s="6" t="inlineStr">
        <is>
          <t>BS-SVC-404</t>
        </is>
      </c>
      <c r="I4" s="6" t="inlineStr">
        <is>
          <t>error.code 확인</t>
        </is>
      </c>
      <c r="J4" s="14" t="inlineStr"/>
      <c r="K4" s="14" t="inlineStr"/>
      <c r="L4" s="15" t="inlineStr"/>
      <c r="M4" s="14" t="inlineStr"/>
    </row>
    <row r="5">
      <c r="A5" s="12" t="inlineStr">
        <is>
          <t>TC-07-1</t>
        </is>
      </c>
      <c r="B5" s="6" t="inlineStr">
        <is>
          <t>BSL-F-07</t>
        </is>
      </c>
      <c r="C5" s="6" t="inlineStr">
        <is>
          <t>Request ID 서버 생성</t>
        </is>
      </c>
      <c r="D5" s="13" t="inlineStr">
        <is>
          <t>POST</t>
        </is>
      </c>
      <c r="E5" s="6" t="inlineStr">
        <is>
          <t>IFRS17.CLOSING.STATUS:execute</t>
        </is>
      </c>
      <c r="F5" s="6" t="inlineStr">
        <is>
          <t>{"closingYearMonth":"2026-06"}</t>
        </is>
      </c>
      <c r="G5" s="13" t="n">
        <v>200</v>
      </c>
      <c r="H5" s="6" t="inlineStr">
        <is>
          <t>-</t>
        </is>
      </c>
      <c r="I5" s="6" t="inlineStr">
        <is>
          <t>requestId 가 REQ- 로 시작</t>
        </is>
      </c>
      <c r="J5" s="14" t="inlineStr"/>
      <c r="K5" s="14" t="inlineStr"/>
      <c r="L5" s="15" t="inlineStr"/>
      <c r="M5" s="14" t="inlineStr"/>
    </row>
    <row r="6">
      <c r="A6" s="12" t="inlineStr">
        <is>
          <t>TC-07-2</t>
        </is>
      </c>
      <c r="B6" s="6" t="inlineStr">
        <is>
          <t>BSL-F-07</t>
        </is>
      </c>
      <c r="C6" s="6" t="inlineStr">
        <is>
          <t>Request ID 전달</t>
        </is>
      </c>
      <c r="D6" s="13" t="inlineStr">
        <is>
          <t>POST</t>
        </is>
      </c>
      <c r="E6" s="6" t="inlineStr">
        <is>
          <t>IFRS17.CLOSING.STATUS:execute</t>
        </is>
      </c>
      <c r="F6" s="6" t="inlineStr">
        <is>
          <t>Header X-Request-ID: REQ-20260714-0001</t>
        </is>
      </c>
      <c r="G6" s="13" t="n">
        <v>200</v>
      </c>
      <c r="H6" s="6" t="inlineStr">
        <is>
          <t>-</t>
        </is>
      </c>
      <c r="I6" s="6" t="inlineStr">
        <is>
          <t>응답 requestId 가 동일</t>
        </is>
      </c>
      <c r="J6" s="14" t="inlineStr"/>
      <c r="K6" s="14" t="inlineStr"/>
      <c r="L6" s="15" t="inlineStr"/>
      <c r="M6" s="14" t="inlineStr"/>
    </row>
    <row r="7">
      <c r="A7" s="12" t="inlineStr">
        <is>
          <t>TC-08-1</t>
        </is>
      </c>
      <c r="B7" s="6" t="inlineStr">
        <is>
          <t>BSL-F-08</t>
        </is>
      </c>
      <c r="C7" s="6" t="inlineStr">
        <is>
          <t>Client ID 누락</t>
        </is>
      </c>
      <c r="D7" s="13" t="inlineStr">
        <is>
          <t>POST</t>
        </is>
      </c>
      <c r="E7" s="6" t="inlineStr">
        <is>
          <t>IFRS17.CLOSING.STATUS:execute</t>
        </is>
      </c>
      <c r="F7" s="6" t="inlineStr">
        <is>
          <t>X-Client-ID Header 제거</t>
        </is>
      </c>
      <c r="G7" s="13" t="n">
        <v>401</v>
      </c>
      <c r="H7" s="6" t="inlineStr">
        <is>
          <t>BS-AUTH-001</t>
        </is>
      </c>
      <c r="I7" s="6" t="inlineStr">
        <is>
          <t>감사 실패로그 기록</t>
        </is>
      </c>
      <c r="J7" s="14" t="inlineStr"/>
      <c r="K7" s="14" t="inlineStr"/>
      <c r="L7" s="15" t="inlineStr"/>
      <c r="M7" s="14" t="inlineStr"/>
    </row>
    <row r="8">
      <c r="A8" s="12" t="inlineStr">
        <is>
          <t>TC-08-2</t>
        </is>
      </c>
      <c r="B8" s="6" t="inlineStr">
        <is>
          <t>BSL-F-08</t>
        </is>
      </c>
      <c r="C8" s="6" t="inlineStr">
        <is>
          <t>Token 만료</t>
        </is>
      </c>
      <c r="D8" s="13" t="inlineStr">
        <is>
          <t>POST</t>
        </is>
      </c>
      <c r="E8" s="6" t="inlineStr">
        <is>
          <t>IFRS17.CLOSING.STATUS:execute</t>
        </is>
      </c>
      <c r="F8" s="6" t="inlineStr">
        <is>
          <t>{"closingYearMonth":"2026-06","__simulate":"UNAUTHORIZED"}</t>
        </is>
      </c>
      <c r="G8" s="13" t="n">
        <v>401</v>
      </c>
      <c r="H8" s="6" t="inlineStr">
        <is>
          <t>BS-AUTH-002</t>
        </is>
      </c>
      <c r="I8" s="6" t="inlineStr">
        <is>
          <t>-</t>
        </is>
      </c>
      <c r="J8" s="14" t="inlineStr"/>
      <c r="K8" s="14" t="inlineStr"/>
      <c r="L8" s="15" t="inlineStr"/>
      <c r="M8" s="14" t="inlineStr"/>
    </row>
    <row r="9">
      <c r="A9" s="12" t="inlineStr">
        <is>
          <t>TC-09-1</t>
        </is>
      </c>
      <c r="B9" s="6" t="inlineStr">
        <is>
          <t>BSL-F-09</t>
        </is>
      </c>
      <c r="C9" s="6" t="inlineStr">
        <is>
          <t>사용자 Context</t>
        </is>
      </c>
      <c r="D9" s="13" t="inlineStr">
        <is>
          <t>POST</t>
        </is>
      </c>
      <c r="E9" s="6" t="inlineStr">
        <is>
          <t>IFRS17.CLOSING.STATUS:execute</t>
        </is>
      </c>
      <c r="F9" s="6" t="inlineStr">
        <is>
          <t>Header X-User-ID: E12345</t>
        </is>
      </c>
      <c r="G9" s="13" t="n">
        <v>200</v>
      </c>
      <c r="H9" s="6" t="inlineStr">
        <is>
          <t>-</t>
        </is>
      </c>
      <c r="I9" s="6" t="inlineStr">
        <is>
          <t>감사로그 userId=E12345</t>
        </is>
      </c>
      <c r="J9" s="14" t="inlineStr"/>
      <c r="K9" s="14" t="inlineStr"/>
      <c r="L9" s="15" t="inlineStr"/>
      <c r="M9" s="14" t="inlineStr"/>
    </row>
    <row r="10">
      <c r="A10" s="12" t="inlineStr">
        <is>
          <t>TC-10-1</t>
        </is>
      </c>
      <c r="B10" s="6" t="inlineStr">
        <is>
          <t>BSL-F-10</t>
        </is>
      </c>
      <c r="C10" s="6" t="inlineStr">
        <is>
          <t>미등록 서비스</t>
        </is>
      </c>
      <c r="D10" s="13" t="inlineStr">
        <is>
          <t>POST</t>
        </is>
      </c>
      <c r="E10" s="6" t="inlineStr">
        <is>
          <t>IFRS17.UNKNOWN.SERVICE:execute</t>
        </is>
      </c>
      <c r="F10" s="6" t="inlineStr">
        <is>
          <t>{"closingYearMonth":"2026-06"}</t>
        </is>
      </c>
      <c r="G10" s="13" t="n">
        <v>404</v>
      </c>
      <c r="H10" s="6" t="inlineStr">
        <is>
          <t>BS-SVC-404</t>
        </is>
      </c>
      <c r="I10" s="6" t="inlineStr">
        <is>
          <t>-</t>
        </is>
      </c>
      <c r="J10" s="14" t="inlineStr"/>
      <c r="K10" s="14" t="inlineStr"/>
      <c r="L10" s="15" t="inlineStr"/>
      <c r="M10" s="14" t="inlineStr"/>
    </row>
    <row r="11">
      <c r="A11" s="12" t="inlineStr">
        <is>
          <t>TC-10-2</t>
        </is>
      </c>
      <c r="B11" s="6" t="inlineStr">
        <is>
          <t>BSL-F-10</t>
        </is>
      </c>
      <c r="C11" s="6" t="inlineStr">
        <is>
          <t>비활성 서비스</t>
        </is>
      </c>
      <c r="D11" s="13" t="inlineStr">
        <is>
          <t>POST</t>
        </is>
      </c>
      <c r="E11" s="6" t="inlineStr">
        <is>
          <t>IFRS17.SAMPLE.DISABLED:execute</t>
        </is>
      </c>
      <c r="F11" s="6" t="inlineStr">
        <is>
          <t>{"closingYearMonth":"2026-06"}</t>
        </is>
      </c>
      <c r="G11" s="13" t="n">
        <v>404</v>
      </c>
      <c r="H11" s="6" t="inlineStr">
        <is>
          <t>BS-SVC-404</t>
        </is>
      </c>
      <c r="I11" s="6" t="inlineStr">
        <is>
          <t>CON-ACC-03</t>
        </is>
      </c>
      <c r="J11" s="14" t="inlineStr"/>
      <c r="K11" s="14" t="inlineStr"/>
      <c r="L11" s="15" t="inlineStr"/>
      <c r="M11" s="14" t="inlineStr"/>
    </row>
    <row r="12">
      <c r="A12" s="12" t="inlineStr">
        <is>
          <t>TC-10-3</t>
        </is>
      </c>
      <c r="B12" s="6" t="inlineStr">
        <is>
          <t>BSL-F-10</t>
        </is>
      </c>
      <c r="C12" s="6" t="inlineStr">
        <is>
          <t>버전 불일치</t>
        </is>
      </c>
      <c r="D12" s="13" t="inlineStr">
        <is>
          <t>POST</t>
        </is>
      </c>
      <c r="E12" s="6" t="inlineStr">
        <is>
          <t>IFRS17.CLOSING.STATUS:execute</t>
        </is>
      </c>
      <c r="F12" s="6" t="inlineStr">
        <is>
          <t>serviceVersion:"9.9"</t>
        </is>
      </c>
      <c r="G12" s="13" t="n">
        <v>404</v>
      </c>
      <c r="H12" s="6" t="inlineStr">
        <is>
          <t>BS-SVC-404</t>
        </is>
      </c>
      <c r="I12" s="6" t="inlineStr">
        <is>
          <t>-</t>
        </is>
      </c>
      <c r="J12" s="14" t="inlineStr"/>
      <c r="K12" s="14" t="inlineStr"/>
      <c r="L12" s="15" t="inlineStr"/>
      <c r="M12" s="14" t="inlineStr"/>
    </row>
    <row r="13">
      <c r="A13" s="12" t="inlineStr">
        <is>
          <t>TC-11-1</t>
        </is>
      </c>
      <c r="B13" s="6" t="inlineStr">
        <is>
          <t>BSL-F-11</t>
        </is>
      </c>
      <c r="C13" s="6" t="inlineStr">
        <is>
          <t>권한 없음</t>
        </is>
      </c>
      <c r="D13" s="13" t="inlineStr">
        <is>
          <t>POST</t>
        </is>
      </c>
      <c r="E13" s="6" t="inlineStr">
        <is>
          <t>IFRS17.CLOSING.STATUS:execute</t>
        </is>
      </c>
      <c r="F13" s="6" t="inlineStr">
        <is>
          <t>{"closingYearMonth":"2026-06","__simulate":"FORBIDDEN"}</t>
        </is>
      </c>
      <c r="G13" s="13" t="n">
        <v>403</v>
      </c>
      <c r="H13" s="6" t="inlineStr">
        <is>
          <t>BS-AUTH-003</t>
        </is>
      </c>
      <c r="I13" s="6" t="inlineStr">
        <is>
          <t>감사 실패로그 기록</t>
        </is>
      </c>
      <c r="J13" s="14" t="inlineStr"/>
      <c r="K13" s="14" t="inlineStr"/>
      <c r="L13" s="15" t="inlineStr"/>
      <c r="M13" s="14" t="inlineStr"/>
    </row>
    <row r="14">
      <c r="A14" s="12" t="inlineStr">
        <is>
          <t>TC-12-1</t>
        </is>
      </c>
      <c r="B14" s="6" t="inlineStr">
        <is>
          <t>BSL-F-12</t>
        </is>
      </c>
      <c r="C14" s="6" t="inlineStr">
        <is>
          <t>기준년월 형식 오류</t>
        </is>
      </c>
      <c r="D14" s="13" t="inlineStr">
        <is>
          <t>POST</t>
        </is>
      </c>
      <c r="E14" s="6" t="inlineStr">
        <is>
          <t>IFRS17.CLOSING.STATUS:execute</t>
        </is>
      </c>
      <c r="F14" s="6" t="inlineStr">
        <is>
          <t>{"closingYearMonth":"2026-13"}</t>
        </is>
      </c>
      <c r="G14" s="13" t="n">
        <v>400</v>
      </c>
      <c r="H14" s="6" t="inlineStr">
        <is>
          <t>BS-VAL-001</t>
        </is>
      </c>
      <c r="I14" s="6" t="inlineStr">
        <is>
          <t>details[0].field=closingYearMonth</t>
        </is>
      </c>
      <c r="J14" s="14" t="inlineStr"/>
      <c r="K14" s="14" t="inlineStr"/>
      <c r="L14" s="15" t="inlineStr"/>
      <c r="M14" s="14" t="inlineStr"/>
    </row>
    <row r="15">
      <c r="A15" s="12" t="inlineStr">
        <is>
          <t>TC-12-2</t>
        </is>
      </c>
      <c r="B15" s="6" t="inlineStr">
        <is>
          <t>BSL-F-12</t>
        </is>
      </c>
      <c r="C15" s="6" t="inlineStr">
        <is>
          <t>파라미터 누락</t>
        </is>
      </c>
      <c r="D15" s="13" t="inlineStr">
        <is>
          <t>POST</t>
        </is>
      </c>
      <c r="E15" s="6" t="inlineStr">
        <is>
          <t>IFRS17.CLOSING.STATUS:execute</t>
        </is>
      </c>
      <c r="F15" s="6" t="inlineStr">
        <is>
          <t>{}</t>
        </is>
      </c>
      <c r="G15" s="13" t="n">
        <v>400</v>
      </c>
      <c r="H15" s="6" t="inlineStr">
        <is>
          <t>BS-VAL-001</t>
        </is>
      </c>
      <c r="I15" s="6" t="inlineStr">
        <is>
          <t>details[0].field=parameters</t>
        </is>
      </c>
      <c r="J15" s="14" t="inlineStr"/>
      <c r="K15" s="14" t="inlineStr"/>
      <c r="L15" s="15" t="inlineStr"/>
      <c r="M15" s="14" t="inlineStr"/>
    </row>
    <row r="16">
      <c r="A16" s="12" t="inlineStr">
        <is>
          <t>TC-13-1</t>
        </is>
      </c>
      <c r="B16" s="6" t="inlineStr">
        <is>
          <t>BSL-F-13</t>
        </is>
      </c>
      <c r="C16" s="6" t="inlineStr">
        <is>
          <t>감사 시작 로그</t>
        </is>
      </c>
      <c r="D16" s="13" t="inlineStr">
        <is>
          <t>POST</t>
        </is>
      </c>
      <c r="E16" s="6" t="inlineStr">
        <is>
          <t>IFRS17.CLOSING.STATUS:execute</t>
        </is>
      </c>
      <c r="F16" s="6" t="inlineStr">
        <is>
          <t>{"closingYearMonth":"2026-06"}</t>
        </is>
      </c>
      <c r="G16" s="13" t="n">
        <v>200</v>
      </c>
      <c r="H16" s="6" t="inlineStr">
        <is>
          <t>-</t>
        </is>
      </c>
      <c r="I16" s="6" t="inlineStr">
        <is>
          <t>[BSL-AUDIT-START] 출력</t>
        </is>
      </c>
      <c r="J16" s="14" t="inlineStr"/>
      <c r="K16" s="14" t="inlineStr"/>
      <c r="L16" s="15" t="inlineStr"/>
      <c r="M16" s="14" t="inlineStr"/>
    </row>
    <row r="17">
      <c r="A17" s="12" t="inlineStr">
        <is>
          <t>TC-14-1</t>
        </is>
      </c>
      <c r="B17" s="6" t="inlineStr">
        <is>
          <t>BSL-F-14</t>
        </is>
      </c>
      <c r="C17" s="6" t="inlineStr">
        <is>
          <t>파일럿 5종</t>
        </is>
      </c>
      <c r="D17" s="13" t="inlineStr">
        <is>
          <t>POST</t>
        </is>
      </c>
      <c r="E17" s="6" t="inlineStr">
        <is>
          <t>5개 serviceId 순차</t>
        </is>
      </c>
      <c r="F17" s="6" t="inlineStr">
        <is>
          <t>{"closingYearMonth":"2026-06"}</t>
        </is>
      </c>
      <c r="G17" s="13" t="n">
        <v>200</v>
      </c>
      <c r="H17" s="6" t="inlineStr">
        <is>
          <t>-</t>
        </is>
      </c>
      <c r="I17" s="6" t="inlineStr">
        <is>
          <t>서비스별 result 구조 상이</t>
        </is>
      </c>
      <c r="J17" s="14" t="inlineStr"/>
      <c r="K17" s="14" t="inlineStr"/>
      <c r="L17" s="15" t="inlineStr"/>
      <c r="M17" s="14" t="inlineStr"/>
    </row>
    <row r="18">
      <c r="A18" s="12" t="inlineStr">
        <is>
          <t>TC-15-1</t>
        </is>
      </c>
      <c r="B18" s="6" t="inlineStr">
        <is>
          <t>BSL-F-15</t>
        </is>
      </c>
      <c r="C18" s="6" t="inlineStr">
        <is>
          <t>데이터 존재</t>
        </is>
      </c>
      <c r="D18" s="13" t="inlineStr">
        <is>
          <t>POST</t>
        </is>
      </c>
      <c r="E18" s="6" t="inlineStr">
        <is>
          <t>IFRS17.CLOSING.STATUS:execute</t>
        </is>
      </c>
      <c r="F18" s="6" t="inlineStr">
        <is>
          <t>{"closingYearMonth":"2026-06"}</t>
        </is>
      </c>
      <c r="G18" s="13" t="n">
        <v>200</v>
      </c>
      <c r="H18" s="6" t="inlineStr">
        <is>
          <t>-</t>
        </is>
      </c>
      <c r="I18" s="6" t="inlineStr">
        <is>
          <t>stages 6건</t>
        </is>
      </c>
      <c r="J18" s="14" t="inlineStr"/>
      <c r="K18" s="14" t="inlineStr"/>
      <c r="L18" s="15" t="inlineStr"/>
      <c r="M18" s="14" t="inlineStr"/>
    </row>
    <row r="19">
      <c r="A19" s="12" t="inlineStr">
        <is>
          <t>TC-15-2</t>
        </is>
      </c>
      <c r="B19" s="6" t="inlineStr">
        <is>
          <t>BSL-F-15</t>
        </is>
      </c>
      <c r="C19" s="6" t="inlineStr">
        <is>
          <t>데이터 없음</t>
        </is>
      </c>
      <c r="D19" s="13" t="inlineStr">
        <is>
          <t>POST</t>
        </is>
      </c>
      <c r="E19" s="6" t="inlineStr">
        <is>
          <t>IFRS17.CLOSING.STATUS:execute</t>
        </is>
      </c>
      <c r="F19" s="6" t="inlineStr">
        <is>
          <t>{"closingYearMonth":"2020-01"}</t>
        </is>
      </c>
      <c r="G19" s="13" t="n">
        <v>200</v>
      </c>
      <c r="H19" s="6" t="inlineStr">
        <is>
          <t>BS-DATA-000</t>
        </is>
      </c>
      <c r="I19" s="6" t="inlineStr">
        <is>
          <t>빈 배열 + warnings[0]</t>
        </is>
      </c>
      <c r="J19" s="14" t="inlineStr"/>
      <c r="K19" s="14" t="inlineStr"/>
      <c r="L19" s="15" t="inlineStr"/>
      <c r="M19" s="14" t="inlineStr"/>
    </row>
    <row r="20">
      <c r="A20" s="12" t="inlineStr">
        <is>
          <t>TC-15-3</t>
        </is>
      </c>
      <c r="B20" s="6" t="inlineStr">
        <is>
          <t>BSL-F-15</t>
        </is>
      </c>
      <c r="C20" s="6" t="inlineStr">
        <is>
          <t>Legacy 오류</t>
        </is>
      </c>
      <c r="D20" s="13" t="inlineStr">
        <is>
          <t>POST</t>
        </is>
      </c>
      <c r="E20" s="6" t="inlineStr">
        <is>
          <t>IFRS17.CLOSING.STATUS:execute</t>
        </is>
      </c>
      <c r="F20" s="6" t="inlineStr">
        <is>
          <t>{"closingYearMonth":"2026-06","__simulate":"LEGACY_ERROR"}</t>
        </is>
      </c>
      <c r="G20" s="13" t="n">
        <v>500</v>
      </c>
      <c r="H20" s="6" t="inlineStr">
        <is>
          <t>BS-LEG-500</t>
        </is>
      </c>
      <c r="I20" s="6" t="inlineStr">
        <is>
          <t>errorId 존재</t>
        </is>
      </c>
      <c r="J20" s="14" t="inlineStr"/>
      <c r="K20" s="14" t="inlineStr"/>
      <c r="L20" s="15" t="inlineStr"/>
      <c r="M20" s="14" t="inlineStr"/>
    </row>
    <row r="21">
      <c r="A21" s="12" t="inlineStr">
        <is>
          <t>TC-15-4</t>
        </is>
      </c>
      <c r="B21" s="6" t="inlineStr">
        <is>
          <t>BSL-F-15</t>
        </is>
      </c>
      <c r="C21" s="6" t="inlineStr">
        <is>
          <t>Timeout</t>
        </is>
      </c>
      <c r="D21" s="13" t="inlineStr">
        <is>
          <t>POST</t>
        </is>
      </c>
      <c r="E21" s="6" t="inlineStr">
        <is>
          <t>IFRS17.CLOSING.STATUS:execute</t>
        </is>
      </c>
      <c r="F21" s="6" t="inlineStr">
        <is>
          <t>{"closingYearMonth":"2026-06","__simulate":"TIMEOUT"}</t>
        </is>
      </c>
      <c r="G21" s="13" t="n">
        <v>504</v>
      </c>
      <c r="H21" s="6" t="inlineStr">
        <is>
          <t>BS-SYS-504</t>
        </is>
      </c>
      <c r="I21" s="6" t="inlineStr">
        <is>
          <t>-</t>
        </is>
      </c>
      <c r="J21" s="14" t="inlineStr"/>
      <c r="K21" s="14" t="inlineStr"/>
      <c r="L21" s="15" t="inlineStr"/>
      <c r="M21" s="14" t="inlineStr"/>
    </row>
    <row r="22">
      <c r="A22" s="12" t="inlineStr">
        <is>
          <t>TC-15-5</t>
        </is>
      </c>
      <c r="B22" s="6" t="inlineStr">
        <is>
          <t>BSL-F-15</t>
        </is>
      </c>
      <c r="C22" s="6" t="inlineStr">
        <is>
          <t>선택 파라미터 필터</t>
        </is>
      </c>
      <c r="D22" s="13" t="inlineStr">
        <is>
          <t>POST</t>
        </is>
      </c>
      <c r="E22" s="6" t="inlineStr">
        <is>
          <t>IFRS17.JOURNAL.STATUS:execute</t>
        </is>
      </c>
      <c r="F22" s="6" t="inlineStr">
        <is>
          <t>{"closingYearMonth":"2026-06","journalType":"CSM_AMORTIZATION"}</t>
        </is>
      </c>
      <c r="G22" s="13" t="n">
        <v>200</v>
      </c>
      <c r="H22" s="6" t="inlineStr">
        <is>
          <t>-</t>
        </is>
      </c>
      <c r="I22" s="6" t="inlineStr">
        <is>
          <t>결과 1건</t>
        </is>
      </c>
      <c r="J22" s="14" t="inlineStr"/>
      <c r="K22" s="14" t="inlineStr"/>
      <c r="L22" s="15" t="inlineStr"/>
      <c r="M22" s="14" t="inlineStr"/>
    </row>
    <row r="23">
      <c r="A23" s="12" t="inlineStr">
        <is>
          <t>TC-16-1</t>
        </is>
      </c>
      <c r="B23" s="6" t="inlineStr">
        <is>
          <t>BSL-F-16</t>
        </is>
      </c>
      <c r="C23" s="6" t="inlineStr">
        <is>
          <t>마스킹</t>
        </is>
      </c>
      <c r="D23" s="13" t="inlineStr">
        <is>
          <t>POST</t>
        </is>
      </c>
      <c r="E23" s="6" t="inlineStr">
        <is>
          <t>IFRS17.CLOSING.STATUS:execute</t>
        </is>
      </c>
      <c r="F23" s="6" t="inlineStr">
        <is>
          <t>{"closingYearMonth":"2026-06"}</t>
        </is>
      </c>
      <c r="G23" s="13" t="n">
        <v>200</v>
      </c>
      <c r="H23" s="6" t="inlineStr">
        <is>
          <t>-</t>
        </is>
      </c>
      <c r="I23" s="6" t="inlineStr">
        <is>
          <t>민감정보 미노출</t>
        </is>
      </c>
      <c r="J23" s="14" t="inlineStr"/>
      <c r="K23" s="14" t="inlineStr"/>
      <c r="L23" s="15" t="inlineStr"/>
      <c r="M23" s="14" t="inlineStr"/>
    </row>
    <row r="24">
      <c r="A24" s="12" t="inlineStr">
        <is>
          <t>TC-17-1</t>
        </is>
      </c>
      <c r="B24" s="6" t="inlineStr">
        <is>
          <t>BSL-F-17</t>
        </is>
      </c>
      <c r="C24" s="6" t="inlineStr">
        <is>
          <t>감사 종료 로그</t>
        </is>
      </c>
      <c r="D24" s="13" t="inlineStr">
        <is>
          <t>POST</t>
        </is>
      </c>
      <c r="E24" s="6" t="inlineStr">
        <is>
          <t>정상/오류 각각</t>
        </is>
      </c>
      <c r="F24" s="6" t="inlineStr">
        <is>
          <t>-</t>
        </is>
      </c>
      <c r="G24" s="13" t="inlineStr">
        <is>
          <t>-</t>
        </is>
      </c>
      <c r="H24" s="6" t="inlineStr">
        <is>
          <t>-</t>
        </is>
      </c>
      <c r="I24" s="6" t="inlineStr">
        <is>
          <t>SUCCESS/FAIL 로그 1행</t>
        </is>
      </c>
      <c r="J24" s="14" t="inlineStr"/>
      <c r="K24" s="14" t="inlineStr"/>
      <c r="L24" s="15" t="inlineStr"/>
      <c r="M24" s="14" t="inlineStr"/>
    </row>
    <row r="25">
      <c r="A25" s="12" t="inlineStr">
        <is>
          <t>TC-17-2</t>
        </is>
      </c>
      <c r="B25" s="6" t="inlineStr">
        <is>
          <t>BSL-F-17</t>
        </is>
      </c>
      <c r="C25" s="6" t="inlineStr">
        <is>
          <t>Request ID 추적</t>
        </is>
      </c>
      <c r="D25" s="13" t="inlineStr">
        <is>
          <t>POST</t>
        </is>
      </c>
      <c r="E25" s="6" t="inlineStr">
        <is>
          <t>IFRS17.CLOSING.STATUS:execute</t>
        </is>
      </c>
      <c r="F25" s="6" t="inlineStr">
        <is>
          <t>{"closingYearMonth":"2026-06"}</t>
        </is>
      </c>
      <c r="G25" s="13" t="n">
        <v>200</v>
      </c>
      <c r="H25" s="6" t="inlineStr">
        <is>
          <t>-</t>
        </is>
      </c>
      <c r="I25" s="6" t="inlineStr">
        <is>
          <t>응답 requestId = 로그 requestId</t>
        </is>
      </c>
      <c r="J25" s="14" t="inlineStr"/>
      <c r="K25" s="14" t="inlineStr"/>
      <c r="L25" s="15" t="inlineStr"/>
      <c r="M25" s="14" t="inlineStr"/>
    </row>
    <row r="26">
      <c r="A26" s="12" t="inlineStr">
        <is>
          <t>TC-18-1</t>
        </is>
      </c>
      <c r="B26" s="6" t="inlineStr">
        <is>
          <t>BSL-F-18</t>
        </is>
      </c>
      <c r="C26" s="6" t="inlineStr">
        <is>
          <t>내부 오류</t>
        </is>
      </c>
      <c r="D26" s="13" t="inlineStr">
        <is>
          <t>POST</t>
        </is>
      </c>
      <c r="E26" s="6" t="inlineStr">
        <is>
          <t>IFRS17.CLOSING.STATUS:execute</t>
        </is>
      </c>
      <c r="F26" s="6" t="inlineStr">
        <is>
          <t>{"closingYearMonth":"2026-06","__simulate":"SYSTEM_ERROR"}</t>
        </is>
      </c>
      <c r="G26" s="13" t="n">
        <v>500</v>
      </c>
      <c r="H26" s="6" t="inlineStr">
        <is>
          <t>BS-SYS-500</t>
        </is>
      </c>
      <c r="I26" s="6" t="inlineStr">
        <is>
          <t>상세 미노출 + errorId</t>
        </is>
      </c>
      <c r="J26" s="14" t="inlineStr"/>
      <c r="K26" s="14" t="inlineStr"/>
      <c r="L26" s="15" t="inlineStr"/>
      <c r="M26" s="14" t="inlineStr"/>
    </row>
    <row r="27">
      <c r="A27" s="12" t="inlineStr">
        <is>
          <t>TC-18-2</t>
        </is>
      </c>
      <c r="B27" s="6" t="inlineStr">
        <is>
          <t>BSL-F-18</t>
        </is>
      </c>
      <c r="C27" s="6" t="inlineStr">
        <is>
          <t>Envelope 규격</t>
        </is>
      </c>
      <c r="D27" s="13" t="inlineStr">
        <is>
          <t>POST</t>
        </is>
      </c>
      <c r="E27" s="6" t="inlineStr">
        <is>
          <t>IFRS17.CLOSING.STATUS:execute</t>
        </is>
      </c>
      <c r="F27" s="6" t="inlineStr">
        <is>
          <t>{"closingYearMonth":"2026-06"}</t>
        </is>
      </c>
      <c r="G27" s="13" t="n">
        <v>200</v>
      </c>
      <c r="H27" s="6" t="inlineStr">
        <is>
          <t>-</t>
        </is>
      </c>
      <c r="I27" s="6" t="inlineStr">
        <is>
          <t>5.4 전 필드 존재</t>
        </is>
      </c>
      <c r="J27" s="14" t="inlineStr"/>
      <c r="K27" s="14" t="inlineStr"/>
      <c r="L27" s="15" t="inlineStr"/>
      <c r="M27" s="14" t="inlineStr"/>
    </row>
    <row r="28">
      <c r="A28" s="12" t="inlineStr">
        <is>
          <t>TC-A-01</t>
        </is>
      </c>
      <c r="B28" s="6" t="inlineStr">
        <is>
          <t>BSL-A-01</t>
        </is>
      </c>
      <c r="C28" s="6" t="inlineStr">
        <is>
          <t>Catalog 목록</t>
        </is>
      </c>
      <c r="D28" s="13" t="inlineStr">
        <is>
          <t>GET</t>
        </is>
      </c>
      <c r="E28" s="6" t="inlineStr">
        <is>
          <t>/catalog</t>
        </is>
      </c>
      <c r="F28" s="6" t="inlineStr">
        <is>
          <t>-</t>
        </is>
      </c>
      <c r="G28" s="13" t="n">
        <v>200</v>
      </c>
      <c r="H28" s="6" t="inlineStr">
        <is>
          <t>-</t>
        </is>
      </c>
      <c r="I28" s="6" t="inlineStr">
        <is>
          <t>6건</t>
        </is>
      </c>
      <c r="J28" s="14" t="inlineStr"/>
      <c r="K28" s="14" t="inlineStr"/>
      <c r="L28" s="15" t="inlineStr"/>
      <c r="M28" s="14" t="inlineStr"/>
    </row>
    <row r="29">
      <c r="A29" s="12" t="inlineStr">
        <is>
          <t>TC-A-02</t>
        </is>
      </c>
      <c r="B29" s="6" t="inlineStr">
        <is>
          <t>BSL-A-02</t>
        </is>
      </c>
      <c r="C29" s="6" t="inlineStr">
        <is>
          <t>Catalog 단건</t>
        </is>
      </c>
      <c r="D29" s="13" t="inlineStr">
        <is>
          <t>GET</t>
        </is>
      </c>
      <c r="E29" s="6" t="inlineStr">
        <is>
          <t>/catalog/IFRS17.CLOSING.STATUS</t>
        </is>
      </c>
      <c r="F29" s="6" t="inlineStr">
        <is>
          <t>-</t>
        </is>
      </c>
      <c r="G29" s="13" t="n">
        <v>200</v>
      </c>
      <c r="H29" s="6" t="inlineStr">
        <is>
          <t>-</t>
        </is>
      </c>
      <c r="I29" s="6" t="inlineStr">
        <is>
          <t>-</t>
        </is>
      </c>
      <c r="J29" s="14" t="inlineStr"/>
      <c r="K29" s="14" t="inlineStr"/>
      <c r="L29" s="15" t="inlineStr"/>
      <c r="M29" s="14" t="inlineStr"/>
    </row>
    <row r="30">
      <c r="A30" s="12" t="inlineStr">
        <is>
          <t>TC-A-03</t>
        </is>
      </c>
      <c r="B30" s="6" t="inlineStr">
        <is>
          <t>BSL-A-02</t>
        </is>
      </c>
      <c r="C30" s="6" t="inlineStr">
        <is>
          <t>Catalog 미등록</t>
        </is>
      </c>
      <c r="D30" s="13" t="inlineStr">
        <is>
          <t>GET</t>
        </is>
      </c>
      <c r="E30" s="6" t="inlineStr">
        <is>
          <t>/catalog/IFRS17.UNKNOWN</t>
        </is>
      </c>
      <c r="F30" s="6" t="inlineStr">
        <is>
          <t>-</t>
        </is>
      </c>
      <c r="G30" s="13" t="n">
        <v>404</v>
      </c>
      <c r="H30" s="6" t="inlineStr">
        <is>
          <t>BS-SVC-404</t>
        </is>
      </c>
      <c r="I30" s="6" t="inlineStr">
        <is>
          <t>-</t>
        </is>
      </c>
      <c r="J30" s="14" t="inlineStr"/>
      <c r="K30" s="14" t="inlineStr"/>
      <c r="L30" s="15" t="inlineStr"/>
      <c r="M30" s="14" t="inlineStr"/>
    </row>
    <row r="31">
      <c r="A31" s="12" t="inlineStr">
        <is>
          <t>TC-A-04</t>
        </is>
      </c>
      <c r="B31" s="6" t="inlineStr">
        <is>
          <t>BSL-A-03</t>
        </is>
      </c>
      <c r="C31" s="6" t="inlineStr">
        <is>
          <t>호출이력</t>
        </is>
      </c>
      <c r="D31" s="13" t="inlineStr">
        <is>
          <t>GET</t>
        </is>
      </c>
      <c r="E31" s="6" t="inlineStr">
        <is>
          <t>/calls/{requestId}</t>
        </is>
      </c>
      <c r="F31" s="6" t="inlineStr">
        <is>
          <t>-</t>
        </is>
      </c>
      <c r="G31" s="13" t="n">
        <v>200</v>
      </c>
      <c r="H31" s="6" t="inlineStr">
        <is>
          <t>-</t>
        </is>
      </c>
      <c r="I31" s="6" t="inlineStr">
        <is>
          <t>Draft 안내 반환</t>
        </is>
      </c>
      <c r="J31" s="14" t="inlineStr"/>
      <c r="K31" s="14" t="inlineStr"/>
      <c r="L31" s="15" t="inlineStr"/>
      <c r="M31" s="14" t="inlineStr"/>
    </row>
    <row r="32">
      <c r="A32" s="12" t="inlineStr">
        <is>
          <t>TC-A-05</t>
        </is>
      </c>
      <c r="B32" s="6" t="inlineStr">
        <is>
          <t>BSL-A-04</t>
        </is>
      </c>
      <c r="C32" s="6" t="inlineStr">
        <is>
          <t>Console 목록</t>
        </is>
      </c>
      <c r="D32" s="13" t="inlineStr">
        <is>
          <t>GET</t>
        </is>
      </c>
      <c r="E32" s="6" t="inlineStr">
        <is>
          <t>/console/v1/services</t>
        </is>
      </c>
      <c r="F32" s="6" t="inlineStr">
        <is>
          <t>-</t>
        </is>
      </c>
      <c r="G32" s="13" t="n">
        <v>200</v>
      </c>
      <c r="H32" s="6" t="inlineStr">
        <is>
          <t>-</t>
        </is>
      </c>
      <c r="I32" s="6" t="inlineStr">
        <is>
          <t>-</t>
        </is>
      </c>
      <c r="J32" s="14" t="inlineStr"/>
      <c r="K32" s="14" t="inlineStr"/>
      <c r="L32" s="15" t="inlineStr"/>
      <c r="M32" s="14" t="inlineStr"/>
    </row>
    <row r="33">
      <c r="A33" s="12" t="inlineStr">
        <is>
          <t>TC-A-06</t>
        </is>
      </c>
      <c r="B33" s="6" t="inlineStr">
        <is>
          <t>BSL-A-05</t>
        </is>
      </c>
      <c r="C33" s="6" t="inlineStr">
        <is>
          <t>Console 저장(Bean 없음)</t>
        </is>
      </c>
      <c r="D33" s="13" t="inlineStr">
        <is>
          <t>POST</t>
        </is>
      </c>
      <c r="E33" s="6" t="inlineStr">
        <is>
          <t>/console/v1/services</t>
        </is>
      </c>
      <c r="F33" s="6" t="inlineStr">
        <is>
          <t>implementationBean:"notExistBean"</t>
        </is>
      </c>
      <c r="G33" s="13" t="n">
        <v>400</v>
      </c>
      <c r="H33" s="6" t="inlineStr">
        <is>
          <t>BS-VAL-001</t>
        </is>
      </c>
      <c r="I33" s="6" t="inlineStr">
        <is>
          <t>CON-ACC-01</t>
        </is>
      </c>
      <c r="J33" s="14" t="inlineStr"/>
      <c r="K33" s="14" t="inlineStr"/>
      <c r="L33" s="15" t="inlineStr"/>
      <c r="M33" s="14" t="inlineStr"/>
    </row>
    <row r="34">
      <c r="A34" s="12" t="inlineStr">
        <is>
          <t>TC-A-07</t>
        </is>
      </c>
      <c r="B34" s="6" t="inlineStr">
        <is>
          <t>BSL-A-07</t>
        </is>
      </c>
      <c r="C34" s="6" t="inlineStr">
        <is>
          <t>Console 미사용 전환</t>
        </is>
      </c>
      <c r="D34" s="13" t="inlineStr">
        <is>
          <t>PATCH</t>
        </is>
      </c>
      <c r="E34" s="6" t="inlineStr">
        <is>
          <t>/console/v1/services/{id}/active?use=false</t>
        </is>
      </c>
      <c r="F34" s="6" t="inlineStr">
        <is>
          <t>-</t>
        </is>
      </c>
      <c r="G34" s="13" t="n">
        <v>200</v>
      </c>
      <c r="H34" s="6" t="inlineStr">
        <is>
          <t>-</t>
        </is>
      </c>
      <c r="I34" s="6" t="inlineStr">
        <is>
          <t>이후 execute 404 (CON-ACC-03)</t>
        </is>
      </c>
      <c r="J34" s="14" t="inlineStr"/>
      <c r="K34" s="14" t="inlineStr"/>
      <c r="L34" s="15" t="inlineStr"/>
      <c r="M34" s="14" t="inlineStr"/>
    </row>
    <row r="35">
      <c r="A35" s="12" t="inlineStr">
        <is>
          <t>TC-A-08</t>
        </is>
      </c>
      <c r="B35" s="6" t="inlineStr">
        <is>
          <t>BSL-A-08</t>
        </is>
      </c>
      <c r="C35" s="6" t="inlineStr">
        <is>
          <t>Console 서비스 Test</t>
        </is>
      </c>
      <c r="D35" s="13" t="inlineStr">
        <is>
          <t>POST</t>
        </is>
      </c>
      <c r="E35" s="6" t="inlineStr">
        <is>
          <t>/console/v1/services/{id}/test</t>
        </is>
      </c>
      <c r="F35" s="6" t="inlineStr">
        <is>
          <t>{"closingYearMonth":"2026-06"}</t>
        </is>
      </c>
      <c r="G35" s="13" t="n">
        <v>200</v>
      </c>
      <c r="H35" s="6" t="inlineStr">
        <is>
          <t>-</t>
        </is>
      </c>
      <c r="I35" s="6" t="inlineStr">
        <is>
          <t>CON-ACC-05</t>
        </is>
      </c>
      <c r="J35" s="14" t="inlineStr"/>
      <c r="K35" s="14" t="inlineStr"/>
      <c r="L35" s="15" t="inlineStr"/>
      <c r="M35" s="14" t="inlineStr"/>
    </row>
    <row r="37">
      <c r="A37" s="16" t="inlineStr">
        <is>
          <t>※ 노란색 셀(수행일자 · 수행자 · 결과 · 비고)이 통합테스트 수행 시 입력 대상이다. 결과는 P(합격) / F(불합격) 로 기재한다.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0" customWidth="1" min="4" max="4"/>
  </cols>
  <sheetData>
    <row r="1">
      <c r="A1" s="17" t="inlineStr">
        <is>
          <t>IFRS17 BSL 기능정의서 — 진척 요약</t>
        </is>
      </c>
    </row>
    <row r="3" ht="34" customHeight="1">
      <c r="A3" s="1" t="inlineStr">
        <is>
          <t>구분</t>
        </is>
      </c>
      <c r="B3" s="1" t="inlineStr">
        <is>
          <t>건수</t>
        </is>
      </c>
      <c r="C3" s="1" t="inlineStr">
        <is>
          <t>비율</t>
        </is>
      </c>
      <c r="D3" s="1" t="inlineStr">
        <is>
          <t>비고</t>
        </is>
      </c>
    </row>
    <row r="4">
      <c r="A4" s="18" t="inlineStr">
        <is>
          <t>전체 세부기능(WBS 최하위)</t>
        </is>
      </c>
      <c r="B4" s="19">
        <f>COUNTA('기능정의서(WBS)'!A2:A71)</f>
        <v/>
      </c>
      <c r="C4" s="20">
        <f>IFERROR(B4/$B$4,0)</f>
        <v/>
      </c>
      <c r="D4" s="18" t="inlineStr">
        <is>
          <t>소분류 기준</t>
        </is>
      </c>
    </row>
    <row r="5">
      <c r="A5" s="18" t="inlineStr">
        <is>
          <t>완료</t>
        </is>
      </c>
      <c r="B5" s="19">
        <f>COUNTIF('기능정의서(WBS)'!N2:N71,"완료")</f>
        <v/>
      </c>
      <c r="C5" s="20">
        <f>IFERROR(B5/$B$4,0)</f>
        <v/>
      </c>
      <c r="D5" s="18" t="inlineStr">
        <is>
          <t>실구현과 동일</t>
        </is>
      </c>
    </row>
    <row r="6">
      <c r="A6" s="18" t="inlineStr">
        <is>
          <t>Mock (계약 완성 / 내부 하드코딩)</t>
        </is>
      </c>
      <c r="B6" s="19">
        <f>COUNTIF('기능정의서(WBS)'!N2:N71,"Mock")</f>
        <v/>
      </c>
      <c r="C6" s="20">
        <f>IFERROR(B6/$B$4,0)</f>
        <v/>
      </c>
      <c r="D6" s="18" t="inlineStr">
        <is>
          <t>실구현 시 내부 교체</t>
        </is>
      </c>
    </row>
    <row r="7">
      <c r="A7" s="18" t="inlineStr">
        <is>
          <t>미구현</t>
        </is>
      </c>
      <c r="B7" s="19">
        <f>COUNTIF('기능정의서(WBS)'!N2:N71,"미구현")</f>
        <v/>
      </c>
      <c r="C7" s="20">
        <f>IFERROR(B7/$B$4,0)</f>
        <v/>
      </c>
      <c r="D7" s="18" t="inlineStr">
        <is>
          <t>DB·SSO·Legacy 연동 후</t>
        </is>
      </c>
    </row>
    <row r="10">
      <c r="A10" s="21" t="inlineStr">
        <is>
          <t>오류코드 현황</t>
        </is>
      </c>
    </row>
    <row r="11">
      <c r="A11" s="18" t="inlineStr">
        <is>
          <t>부록A 정의 코드</t>
        </is>
      </c>
      <c r="B11" s="22">
        <f>COUNTA('오류코드 매핑'!A2:A12)</f>
        <v/>
      </c>
    </row>
    <row r="12">
      <c r="A12" s="18" t="inlineStr">
        <is>
          <t>실제 발생 코드</t>
        </is>
      </c>
      <c r="B12" s="22">
        <f>COUNTIF('오류코드 매핑'!H2:H12,"발생")+COUNTIF('오류코드 매핑'!H2:H12,"시뮬레이션")</f>
        <v/>
      </c>
    </row>
    <row r="13">
      <c r="A13" s="18" t="inlineStr">
        <is>
          <t>미구현 코드</t>
        </is>
      </c>
      <c r="B13" s="22">
        <f>COUNTIF('오류코드 매핑'!H2:H12,"미구현")</f>
        <v/>
      </c>
    </row>
    <row r="15">
      <c r="A15" s="21" t="inlineStr">
        <is>
          <t>통합테스트 케이스</t>
        </is>
      </c>
    </row>
    <row r="16">
      <c r="A16" s="18" t="inlineStr">
        <is>
          <t>총 케이스 수</t>
        </is>
      </c>
      <c r="B16" s="22">
        <f>COUNTA('통합테스트 케이스'!A2:A35)</f>
        <v/>
      </c>
    </row>
    <row r="17">
      <c r="A17" s="18" t="inlineStr">
        <is>
          <t>합격(P)</t>
        </is>
      </c>
      <c r="B17" s="22">
        <f>COUNTIF('통합테스트 케이스'!L2:L35,"P")</f>
        <v/>
      </c>
    </row>
    <row r="18">
      <c r="A18" s="18" t="inlineStr">
        <is>
          <t>불합격(F)</t>
        </is>
      </c>
      <c r="B18" s="22">
        <f>COUNTIF('통합테스트 케이스'!L2:L35,"F")</f>
        <v/>
      </c>
    </row>
    <row r="19">
      <c r="A19" s="18" t="inlineStr">
        <is>
          <t>미수행</t>
        </is>
      </c>
      <c r="B19" s="22">
        <f>B16-B17-B18</f>
        <v/>
      </c>
    </row>
    <row r="21">
      <c r="A21" s="16" t="inlineStr">
        <is>
          <t>※ 근거 설계서 : IFRS17-BSL-SDD-001 v1.3 (4.3 표준 처리 순서 / 부록A 표준 오류코드)</t>
        </is>
      </c>
    </row>
    <row r="22">
      <c r="A22" s="16" t="inlineStr">
        <is>
          <t>※ 대상 소스 : ifrs17-business-service-layer-skeleton / Skeleton_v1.4</t>
        </is>
      </c>
    </row>
    <row r="23">
      <c r="A23" s="16" t="inlineStr">
        <is>
          <t>※ 단계 번호는 설계서 Word 문서 표시번호(6~18) 기준이며, 소스 주석의 (1)~(13)과 대응한다.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2026-08-03T02:01:40Z</dcterms:created>
  <dcterms:modified xsi:type="dcterms:W3CDTF">2026-08-03T02:01:40Z</dcterms:modified>
</cp:coreProperties>
</file>